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8b2c36f06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6c34f3b8274cde"/>
    <x:sheet xmlns:r="http://schemas.openxmlformats.org/officeDocument/2006/relationships" name="Item_Mapping" sheetId="2" r:id="Rf47d86544df141ff"/>
    <x:sheet xmlns:r="http://schemas.openxmlformats.org/officeDocument/2006/relationships" name="Item_Statistics" sheetId="3" r:id="R04eba5854726457b"/>
    <x:sheet xmlns:r="http://schemas.openxmlformats.org/officeDocument/2006/relationships" name="Scale_Statistics" sheetId="4" r:id="R590227c922ab4950"/>
    <x:sheet xmlns:r="http://schemas.openxmlformats.org/officeDocument/2006/relationships" name="Participant_Scores" sheetId="5" r:id="Rde0c1963d2d048d3"/>
    <x:sheet xmlns:r="http://schemas.openxmlformats.org/officeDocument/2006/relationships" name="Coding" sheetId="6" r:id="R54e4aea419d240f1"/>
    <x:sheet xmlns:r="http://schemas.openxmlformats.org/officeDocument/2006/relationships" name="Comparison_Methods" sheetId="7" r:id="R4fa74753c9d24f56"/>
    <x:sheet xmlns:r="http://schemas.openxmlformats.org/officeDocument/2006/relationships" name="Source_Audit" sheetId="8" r:id="R0d48c956effc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49f8e53a0486a" /><Relationship Type="http://schemas.openxmlformats.org/officeDocument/2006/relationships/theme" Target="/xl/theme/theme1.xml" Id="R1d84ff09831b4554" /><Relationship Type="http://schemas.openxmlformats.org/officeDocument/2006/relationships/sharedStrings" Target="/xl/sharedStrings.xml" Id="R91d64196349a4c42" /><Relationship Type="http://schemas.openxmlformats.org/officeDocument/2006/relationships/worksheet" Target="/xl/worksheets/sheet1.xml" Id="R156c34f3b8274cde" /><Relationship Type="http://schemas.openxmlformats.org/officeDocument/2006/relationships/worksheet" Target="/xl/worksheets/sheet2.xml" Id="Rf47d86544df141ff" /><Relationship Type="http://schemas.openxmlformats.org/officeDocument/2006/relationships/worksheet" Target="/xl/worksheets/sheet3.xml" Id="R04eba5854726457b" /><Relationship Type="http://schemas.openxmlformats.org/officeDocument/2006/relationships/worksheet" Target="/xl/worksheets/sheet4.xml" Id="R590227c922ab4950" /><Relationship Type="http://schemas.openxmlformats.org/officeDocument/2006/relationships/worksheet" Target="/xl/worksheets/sheet5.xml" Id="Rde0c1963d2d048d3" /><Relationship Type="http://schemas.openxmlformats.org/officeDocument/2006/relationships/worksheet" Target="/xl/worksheets/sheet6.xml" Id="R54e4aea419d240f1" /><Relationship Type="http://schemas.openxmlformats.org/officeDocument/2006/relationships/worksheet" Target="/xl/worksheets/sheet7.xml" Id="R4fa74753c9d24f56" /><Relationship Type="http://schemas.openxmlformats.org/officeDocument/2006/relationships/worksheet" Target="/xl/worksheets/sheet8.xml" Id="R0d48c956effc4101" /></Relationships>
</file>

<file path=xl/tables/table1.xml><?xml version="1.0" encoding="utf-8"?>
<x:table xmlns:x="http://schemas.openxmlformats.org/spreadsheetml/2006/main" id="1" name="ItemMappingTable" displayName="ItemMappingTable" ref="A3:I37" headerRowCount="1" totalsRowCount="0" totalsRowShown="0">
  <x:tableColumns count="9">
    <x:tableColumn id="1" name="Domain"/>
    <x:tableColumn id="2" name="Match ID"/>
    <x:tableColumn id="3" name="Original sheet"/>
    <x:tableColumn id="4" name="Original item"/>
    <x:tableColumn id="5" name="User sheet"/>
    <x:tableColumn id="6" name="User item"/>
    <x:tableColumn id="7" name="Comparability"/>
    <x:tableColumn id="8" name="Scoring direction"/>
    <x:tableColumn id="9" name="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tatsTable" displayName="ItemStatsTable" ref="A3:N55" headerRowCount="1" totalsRowCount="0" totalsRowShown="0">
  <x:tableColumns count="14">
    <x:tableColumn id="1" name="Dataset"/>
    <x:tableColumn id="2" name="Group"/>
    <x:tableColumn id="3" name="Domain"/>
    <x:tableColumn id="4" name="Item no."/>
    <x:tableColumn id="5" name="Item"/>
    <x:tableColumn id="6" name="Reverse scored"/>
    <x:tableColumn id="7" name="N"/>
    <x:tableColumn id="8" name="Mean"/>
    <x:tableColumn id="9" name="SD"/>
    <x:tableColumn id="10" name="Median"/>
    <x:tableColumn id="11" name="Q1"/>
    <x:tableColumn id="12" name="Q3"/>
    <x:tableColumn id="13" name="Min"/>
    <x:tableColumn id="14" name="Ma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aleStatsTable" displayName="ScaleStatsTable" ref="A3:O10" headerRowCount="1" totalsRowCount="0" totalsRowShown="0">
  <x:tableColumns count="15">
    <x:tableColumn id="1" name="Dataset"/>
    <x:tableColumn id="2" name="Group"/>
    <x:tableColumn id="3" name="Scale"/>
    <x:tableColumn id="4" name="N"/>
    <x:tableColumn id="5" name="Mean"/>
    <x:tableColumn id="6" name="SD"/>
    <x:tableColumn id="7" name="Median"/>
    <x:tableColumn id="8" name="Q1"/>
    <x:tableColumn id="9" name="Q3"/>
    <x:tableColumn id="10" name="Min"/>
    <x:tableColumn id="11" name="Max"/>
    <x:tableColumn id="12" name="Cronbach alpha"/>
    <x:tableColumn id="13" name="Direction"/>
    <x:tableColumn id="14" name="Status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ticipantScoresTable" displayName="ParticipantScoresTable" ref="A3:AL70" headerRowCount="1" totalsRowCount="0" totalsRowShown="0">
  <x:tableColumns count="38">
    <x:tableColumn id="1" name="Dataset"/>
    <x:tableColumn id="2" name="Group"/>
    <x:tableColumn id="3" name="UserID"/>
    <x:tableColumn id="4" name="Presence_1"/>
    <x:tableColumn id="5" name="Presence_2"/>
    <x:tableColumn id="6" name="Presence_3"/>
    <x:tableColumn id="7" name="Presence_4"/>
    <x:tableColumn id="8" name="Presence_5"/>
    <x:tableColumn id="9" name="Presence_6"/>
    <x:tableColumn id="10" name="Presence_7"/>
    <x:tableColumn id="11" name="Presence_8"/>
    <x:tableColumn id="12" name="Cyber_1"/>
    <x:tableColumn id="13" name="Cyber_2"/>
    <x:tableColumn id="14" name="Cyber_3"/>
    <x:tableColumn id="15" name="Cyber_4"/>
    <x:tableColumn id="16" name="Cyber_5"/>
    <x:tableColumn id="17" name="Cyber_6"/>
    <x:tableColumn id="18" name="Common_1"/>
    <x:tableColumn id="19" name="Common_2"/>
    <x:tableColumn id="20" name="Common_3"/>
    <x:tableColumn id="21" name="Common_4"/>
    <x:tableColumn id="22" name="Common_5"/>
    <x:tableColumn id="23" name="Common_6"/>
    <x:tableColumn id="24" name="Common_7"/>
    <x:tableColumn id="25" name="SUS_1"/>
    <x:tableColumn id="26" name="SUS_2"/>
    <x:tableColumn id="27" name="SUS_3"/>
    <x:tableColumn id="28" name="SUS_4"/>
    <x:tableColumn id="29" name="SUS_5"/>
    <x:tableColumn id="30" name="SUS_6"/>
    <x:tableColumn id="31" name="SUS_7"/>
    <x:tableColumn id="32" name="SUS_8"/>
    <x:tableColumn id="33" name="SUS_9"/>
    <x:tableColumn id="34" name="SUS_10"/>
    <x:tableColumn id="35" name="Presence mean"/>
    <x:tableColumn id="36" name="Cyber sum"/>
    <x:tableColumn id="37" name="Common mean"/>
    <x:tableColumn id="38" name="SUS sco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AuditTable" displayName="SourceAuditTable" ref="A3:D10" headerRowCount="1" totalsRowCount="0" totalsRowShown="0">
  <x:tableColumns count="4">
    <x:tableColumn id="1" name="Dataset"/>
    <x:tableColumn id="2" name="Source path"/>
    <x:tableColumn id="3" name="Worksheet"/>
    <x:tableColumn id="4" name="Use in analy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2065de6b3e44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f4bd7160e34d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5fcb035a2246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674282466c4d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c43888aba9640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6" hidden="0" customWidth="1"/>
    <x:col min="3" max="3" width="12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6" hidden="0" customWidth="1"/>
  </x:cols>
  <x:sheetData>
    <x:row r="1" ht="19.200000762939453" hidden="0" customHeight="1">
      <x:c r="A1" s="26" t="str">
        <x:v>Survey Comparison Analysis</x:v>
      </x:c>
      <x:c r="B1" s="27"/>
      <x:c r="C1" s="27"/>
      <x:c r="D1" s="27"/>
      <x:c r="E1" s="27"/>
      <x:c r="F1" s="27"/>
      <x:c r="G1" s="27"/>
      <x:c r="H1" s="27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198" hidden="0" customHeight="1">
      <x:c r="A3" s="28" t="str">
        <x:v>Purpose</x:v>
      </x:c>
      <x:c r="B3" s="29" t="str">
        <x:v>Compare the original CAVE study with the user's iCARE study without forcing non-equivalent questionnaire items together.</x:v>
      </x:c>
      <x:c r="C3" s="27"/>
      <x:c r="D3" s="27"/>
      <x:c r="E3" s="27"/>
      <x:c r="F3" s="27"/>
      <x:c r="G3" s="27"/>
      <x:c r="H3" s="27"/>
    </x:row>
    <x:row r="4" ht="39.599998474121094" hidden="0" customHeight="1">
      <x:c r="A4" s="30" t="str">
        <x:v>Original sample</x:v>
      </x:c>
      <x:c r="B4" s="31" t="str">
        <x:v>52 participants</x:v>
      </x:c>
      <x:c r="C4" s="27"/>
      <x:c r="D4" s="27"/>
      <x:c r="E4" s="27"/>
      <x:c r="F4" s="27"/>
      <x:c r="G4" s="27"/>
      <x:c r="H4" s="27"/>
    </x:row>
    <x:row r="5" ht="39.599998474121094" hidden="0" customHeight="1">
      <x:c r="A5" s="30" t="str">
        <x:v>User sample</x:v>
      </x:c>
      <x:c r="B5" s="31" t="str">
        <x:v>15 participants</x:v>
      </x:c>
      <x:c r="C5" s="27"/>
      <x:c r="D5" s="27"/>
      <x:c r="E5" s="27"/>
      <x:c r="F5" s="27"/>
      <x:c r="G5" s="27"/>
      <x:c r="H5" s="27"/>
    </x:row>
    <x:row r="6" ht="158.39999389648438" hidden="0" customHeight="1">
      <x:c r="A6" s="30" t="str">
        <x:v>Directly comparable</x:v>
      </x:c>
      <x:c r="B6" s="31" t="str">
        <x:v>8 presence/immersion items; 6 cybersickness symptoms; 7 common experience/usability items.</x:v>
      </x:c>
      <x:c r="C6" s="27"/>
      <x:c r="D6" s="27"/>
      <x:c r="E6" s="27"/>
      <x:c r="F6" s="27"/>
      <x:c r="G6" s="27"/>
      <x:c r="H6" s="27"/>
    </x:row>
    <x:row r="7" ht="79.19999694824219" hidden="0" customHeight="1">
      <x:c r="A7" s="30" t="str">
        <x:v>User-only</x:v>
      </x:c>
      <x:c r="B7" s="31" t="str">
        <x:v>Standard 10-item System Usability Scale (SUS).</x:v>
      </x:c>
      <x:c r="C7" s="27"/>
      <x:c r="D7" s="27"/>
      <x:c r="E7" s="27"/>
      <x:c r="F7" s="27"/>
      <x:c r="G7" s="27"/>
      <x:c r="H7" s="27"/>
    </x:row>
    <x:row r="8" ht="184.8000030517578" hidden="0" customHeight="1">
      <x:c r="A8" s="30" t="str">
        <x:v>Key caution</x:v>
      </x:c>
      <x:c r="B8" s="31" t="str">
        <x:v>The presence set is adapted and is not an official IPQ total. The six cybersickness items are not a standard weighted SSQ total.</x:v>
      </x:c>
      <x:c r="C8" s="27"/>
      <x:c r="D8" s="27"/>
      <x:c r="E8" s="27"/>
      <x:c r="F8" s="27"/>
      <x:c r="G8" s="27"/>
      <x:c r="H8" s="27"/>
    </x:row>
    <x:row r="9" ht="316.79998779296875" hidden="0" customHeight="1">
      <x:c r="A9" s="32" t="str">
        <x:v>Inference</x:v>
      </x:c>
      <x:c r="B9" s="33" t="str">
        <x:v>Samples are independent and unequal in size. Use Welch's t-test for defensible composite-score comparisons and Mann–Whitney U as a sensitivity analysis; emphasize effect sizes and confidence intervals.</x:v>
      </x:c>
      <x:c r="C9" s="27"/>
      <x:c r="D9" s="27"/>
      <x:c r="E9" s="27"/>
      <x:c r="F9" s="27"/>
      <x:c r="G9" s="27"/>
      <x:c r="H9" s="27"/>
    </x:row>
    <x:row r="10" ht="15" hidden="0" customHeight="1">
      <x:c r="A10" s="27"/>
      <x:c r="B10" s="27"/>
      <x:c r="C10" s="27"/>
      <x:c r="D10" s="27"/>
      <x:c r="E10" s="27"/>
      <x:c r="F10" s="27"/>
      <x:c r="G10" s="27"/>
      <x:c r="H10" s="27"/>
    </x:row>
    <x:row r="11" ht="26.399999618530273" hidden="0" customHeight="1">
      <x:c r="A11" s="34" t="str">
        <x:v>Scale</x:v>
      </x:c>
      <x:c r="B11" s="34" t="str">
        <x:v>Original group</x:v>
      </x:c>
      <x:c r="C11" s="34" t="str">
        <x:v>Original N</x:v>
      </x:c>
      <x:c r="D11" s="34" t="str">
        <x:v>Original mean</x:v>
      </x:c>
      <x:c r="E11" s="34" t="str">
        <x:v>User group</x:v>
      </x:c>
      <x:c r="F11" s="34" t="str">
        <x:v>User N</x:v>
      </x:c>
      <x:c r="G11" s="34" t="str">
        <x:v>User mean</x:v>
      </x:c>
      <x:c r="H11" s="34" t="str">
        <x:v>User − Original</x:v>
      </x:c>
    </x:row>
    <x:row r="12" ht="66" hidden="0" customHeight="1">
      <x:c r="A12" s="27" t="str">
        <x:v>Adapted presence/immersion mean (8 items)</x:v>
      </x:c>
      <x:c r="B12" s="27" t="str">
        <x:v>CAVE</x:v>
      </x:c>
      <x:c r="C12" s="27" t="n">
        <x:v>52</x:v>
      </x:c>
      <x:c r="D12" s="35" t="n">
        <x:v>5.591346153846154</x:v>
      </x:c>
      <x:c r="E12" s="27" t="str">
        <x:v>iCARE</x:v>
      </x:c>
      <x:c r="F12" s="27" t="n">
        <x:v>15</x:v>
      </x:c>
      <x:c r="G12" s="35" t="n">
        <x:v>4.7</x:v>
      </x:c>
      <x:c r="H12" s="35" t="n">
        <x:v>-0.891346153846154</x:v>
      </x:c>
    </x:row>
    <x:row r="13" ht="66" hidden="0" customHeight="1">
      <x:c r="A13" s="27" t="str">
        <x:v>Cybersickness symptom sum (6 items)</x:v>
      </x:c>
      <x:c r="B13" s="27" t="str">
        <x:v>CAVE</x:v>
      </x:c>
      <x:c r="C13" s="27" t="n">
        <x:v>52</x:v>
      </x:c>
      <x:c r="D13" s="35" t="n">
        <x:v>3.730769230769231</x:v>
      </x:c>
      <x:c r="E13" s="27" t="str">
        <x:v>iCARE</x:v>
      </x:c>
      <x:c r="F13" s="27" t="n">
        <x:v>15</x:v>
      </x:c>
      <x:c r="G13" s="35" t="n">
        <x:v>2.2666666666666666</x:v>
      </x:c>
      <x:c r="H13" s="35" t="n">
        <x:v>-1.4641025641025642</x:v>
      </x:c>
    </x:row>
    <x:row r="14" ht="66" hidden="0" customHeight="1">
      <x:c r="A14" s="27" t="str">
        <x:v>Common experience/usability mean (7 items)</x:v>
      </x:c>
      <x:c r="B14" s="27" t="str">
        <x:v>CAVE</x:v>
      </x:c>
      <x:c r="C14" s="27" t="n">
        <x:v>52</x:v>
      </x:c>
      <x:c r="D14" s="35" t="n">
        <x:v>5.989010989010989</x:v>
      </x:c>
      <x:c r="E14" s="27" t="str">
        <x:v>iCARE</x:v>
      </x:c>
      <x:c r="F14" s="27" t="n">
        <x:v>15</x:v>
      </x:c>
      <x:c r="G14" s="35" t="n">
        <x:v>5.561904761904762</x:v>
      </x:c>
      <x:c r="H14" s="35" t="n">
        <x:v>-0.42710622710622737</x:v>
      </x:c>
    </x:row>
    <x:row r="15" ht="15" hidden="0" customHeight="1">
      <x:c r="A15" s="27"/>
      <x:c r="B15" s="27"/>
      <x:c r="C15" s="27"/>
      <x:c r="D15" s="27"/>
      <x:c r="E15" s="27"/>
      <x:c r="F15" s="27"/>
      <x:c r="G15" s="27"/>
      <x:c r="H15" s="27"/>
    </x:row>
    <x:row r="16" ht="15" hidden="0" customHeight="1">
      <x:c r="A16" s="27"/>
      <x:c r="B16" s="27"/>
      <x:c r="C16" s="27"/>
      <x:c r="D16" s="27"/>
      <x:c r="E16" s="27"/>
      <x:c r="F16" s="27"/>
      <x:c r="G16" s="27"/>
      <x:c r="H16" s="27"/>
    </x:row>
    <x:row r="17" ht="145.1999969482422" hidden="0" customHeight="1">
      <x:c r="A17" s="36" t="str">
        <x:v>Interpretive snapshot</x:v>
      </x:c>
      <x:c r="B17" s="27" t="str">
        <x:v>Descriptive only; do not present these differences as causal effects of CAVE versus iCARE.</x:v>
      </x:c>
      <x:c r="C17" s="27"/>
      <x:c r="D17" s="27"/>
      <x:c r="E17" s="27"/>
      <x:c r="F17" s="27"/>
      <x:c r="G17" s="27"/>
      <x:c r="H17" s="27"/>
    </x:row>
    <x:row r="18" ht="132" hidden="0" customHeight="1">
      <x:c r="A18" s="36" t="str">
        <x:v>Presence/immersion</x:v>
      </x:c>
      <x:c r="B18" s="27" t="str">
        <x:v>Original CAVE mean 5.59 vs iCARE 4.70 on the exploratory 1–7 adapted-item mean.</x:v>
      </x:c>
      <x:c r="C18" s="27"/>
      <x:c r="D18" s="27"/>
      <x:c r="E18" s="27"/>
      <x:c r="F18" s="27"/>
      <x:c r="G18" s="27"/>
      <x:c r="H18" s="27"/>
    </x:row>
    <x:row r="19" ht="158.39999389648438" hidden="0" customHeight="1">
      <x:c r="A19" s="36" t="str">
        <x:v>Cybersickness</x:v>
      </x:c>
      <x:c r="B19" s="27" t="str">
        <x:v>Original median 3.0 vs iCARE median 1.0 on the custom 0–24 symptom sum; lower is better.</x:v>
      </x:c>
      <x:c r="C19" s="27"/>
      <x:c r="D19" s="27"/>
      <x:c r="E19" s="27"/>
      <x:c r="F19" s="27"/>
      <x:c r="G19" s="27"/>
      <x:c r="H19" s="27"/>
    </x:row>
    <x:row r="20" ht="145.1999969482422" hidden="0" customHeight="1">
      <x:c r="A20" s="36" t="str">
        <x:v>Common experience</x:v>
      </x:c>
      <x:c r="B20" s="27" t="str">
        <x:v>Original CAVE mean 5.99 vs iCARE 5.56 on the exploratory 1–7 common-item mean.</x:v>
      </x:c>
      <x:c r="C20" s="27"/>
      <x:c r="D20" s="27"/>
      <x:c r="E20" s="27"/>
      <x:c r="F20" s="27"/>
      <x:c r="G20" s="27"/>
      <x:c r="H20" s="27"/>
    </x:row>
    <x:row r="21" ht="118.80000305175781" hidden="0" customHeight="1">
      <x:c r="A21" s="36" t="str">
        <x:v>SUS (iCARE only)</x:v>
      </x:c>
      <x:c r="B21" s="27" t="str">
        <x:v>Mean 75.17 (SD 10.37), median 75.0; no original-study SUS comparator exists.</x:v>
      </x:c>
      <x:c r="C21" s="27"/>
      <x:c r="D21" s="27"/>
      <x:c r="E21" s="27"/>
      <x:c r="F21" s="27"/>
      <x:c r="G21" s="27"/>
      <x:c r="H21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62" hidden="0" customWidth="1"/>
    <x:col min="5" max="5" width="20" hidden="0" customWidth="1"/>
    <x:col min="6" max="6" width="62" hidden="0" customWidth="1"/>
    <x:col min="7" max="7" width="28" hidden="0" customWidth="1"/>
    <x:col min="8" max="8" width="28" hidden="0" customWidth="1"/>
    <x:col min="9" max="9" width="22" hidden="0" customWidth="1"/>
  </x:cols>
  <x:sheetData>
    <x:row r="1" ht="19.200000762939453" hidden="0" customHeight="1">
      <x:c r="A1" s="26" t="str">
        <x:v>Questionnaire Item Mapping</x:v>
      </x:c>
      <x:c r="B1" s="27"/>
      <x:c r="C1" s="27"/>
      <x:c r="D1" s="27"/>
      <x:c r="E1" s="27"/>
      <x:c r="F1" s="27"/>
      <x:c r="G1" s="27"/>
      <x:c r="H1" s="27"/>
      <x:c r="I1" s="27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  <x:c r="I2" s="27"/>
    </x:row>
    <x:row r="3" ht="26.399999618530273" hidden="0" customHeight="1">
      <x:c r="A3" s="34" t="str">
        <x:v>Domain</x:v>
      </x:c>
      <x:c r="B3" s="34" t="str">
        <x:v>Match ID</x:v>
      </x:c>
      <x:c r="C3" s="34" t="str">
        <x:v>Original sheet</x:v>
      </x:c>
      <x:c r="D3" s="34" t="str">
        <x:v>Original item</x:v>
      </x:c>
      <x:c r="E3" s="34" t="str">
        <x:v>User sheet</x:v>
      </x:c>
      <x:c r="F3" s="34" t="str">
        <x:v>User item</x:v>
      </x:c>
      <x:c r="G3" s="34" t="str">
        <x:v>Comparability</x:v>
      </x:c>
      <x:c r="H3" s="34" t="str">
        <x:v>Scoring direction</x:v>
      </x:c>
      <x:c r="I3" s="34" t="str">
        <x:v>Decision</x:v>
      </x:c>
    </x:row>
    <x:row r="4" ht="105.5999984741211" hidden="0" customHeight="1">
      <x:c r="A4" s="27" t="str">
        <x:v>Presence / immersion</x:v>
      </x:c>
      <x:c r="B4" s="27" t="str">
        <x:v>PRE-01</x:v>
      </x:c>
      <x:c r="C4" s="27" t="str">
        <x:v>POST_IPQ</x:v>
      </x:c>
      <x:c r="D4" s="27" t="str">
        <x:v>I appreciate the graphics and images of the virtual model</x:v>
      </x:c>
      <x:c r="E4" s="27" t="str">
        <x:v>POST_IPQ</x:v>
      </x:c>
      <x:c r="F4" s="27" t="str">
        <x:v>I appreciate the graphics and images of the virtual model</x:v>
      </x:c>
      <x:c r="G4" s="27" t="str">
        <x:v>Direct (exact wording)</x:v>
      </x:c>
      <x:c r="H4" s="27" t="str">
        <x:v>Same direction</x:v>
      </x:c>
      <x:c r="I4" s="27" t="str">
        <x:v>Include in direct comparison</x:v>
      </x:c>
    </x:row>
    <x:row r="5" ht="132" hidden="0" customHeight="1">
      <x:c r="A5" s="27" t="str">
        <x:v>Presence / immersion</x:v>
      </x:c>
      <x:c r="B5" s="27" t="str">
        <x:v>PRE-02</x:v>
      </x:c>
      <x:c r="C5" s="27" t="str">
        <x:v>POST_IPQ</x:v>
      </x:c>
      <x:c r="D5" s="27" t="str">
        <x:v>I perceived the virtual space as a place I visited rather than a photo I saw</x:v>
      </x:c>
      <x:c r="E5" s="27" t="str">
        <x:v>POST_IPQ</x:v>
      </x:c>
      <x:c r="F5" s="27" t="str">
        <x:v>I perceived the virtual space as a place I visited rather than a photo I saw</x:v>
      </x:c>
      <x:c r="G5" s="27" t="str">
        <x:v>Direct (exact wording)</x:v>
      </x:c>
      <x:c r="H5" s="27" t="str">
        <x:v>Same direction</x:v>
      </x:c>
      <x:c r="I5" s="27" t="str">
        <x:v>Include in direct comparison</x:v>
      </x:c>
    </x:row>
    <x:row r="6" ht="79.19999694824219" hidden="0" customHeight="1">
      <x:c r="A6" s="27" t="str">
        <x:v>Presence / immersion</x:v>
      </x:c>
      <x:c r="B6" s="27" t="str">
        <x:v>PRE-03</x:v>
      </x:c>
      <x:c r="C6" s="27" t="str">
        <x:v>POST_IPQ</x:v>
      </x:c>
      <x:c r="D6" s="27" t="str">
        <x:v>During the experience, I felt present in the virtual space</x:v>
      </x:c>
      <x:c r="E6" s="27" t="str">
        <x:v>POST_IPQ</x:v>
      </x:c>
      <x:c r="F6" s="27" t="str">
        <x:v>During the experience, I felt present in the virtual space</x:v>
      </x:c>
      <x:c r="G6" s="27" t="str">
        <x:v>Direct (exact wording)</x:v>
      </x:c>
      <x:c r="H6" s="27" t="str">
        <x:v>Same direction</x:v>
      </x:c>
      <x:c r="I6" s="27" t="str">
        <x:v>Include in direct comparison</x:v>
      </x:c>
    </x:row>
    <x:row r="7" ht="132" hidden="0" customHeight="1">
      <x:c r="A7" s="27" t="str">
        <x:v>Presence / immersion</x:v>
      </x:c>
      <x:c r="B7" s="27" t="str">
        <x:v>PRE-04</x:v>
      </x:c>
      <x:c r="C7" s="27" t="str">
        <x:v>POST_IPQ</x:v>
      </x:c>
      <x:c r="D7" s="27" t="str">
        <x:v>I perceived the virtual model as immersive, that is as an adequate illusion of reality</x:v>
      </x:c>
      <x:c r="E7" s="27" t="str">
        <x:v>POST_IPQ</x:v>
      </x:c>
      <x:c r="F7" s="27" t="str">
        <x:v>I perceived the virtual model as immersive, that is as an adequate illusion of reality</x:v>
      </x:c>
      <x:c r="G7" s="27" t="str">
        <x:v>Direct (exact wording)</x:v>
      </x:c>
      <x:c r="H7" s="27" t="str">
        <x:v>Same direction</x:v>
      </x:c>
      <x:c r="I7" s="27" t="str">
        <x:v>Include in direct comparison</x:v>
      </x:c>
    </x:row>
    <x:row r="8" ht="105.5999984741211" hidden="0" customHeight="1">
      <x:c r="A8" s="27" t="str">
        <x:v>Presence / immersion</x:v>
      </x:c>
      <x:c r="B8" s="27" t="str">
        <x:v>PRE-05</x:v>
      </x:c>
      <x:c r="C8" s="27" t="str">
        <x:v>POST_IPQ</x:v>
      </x:c>
      <x:c r="D8" s="27" t="str">
        <x:v>During the experience, I was not aware of the real world around me</x:v>
      </x:c>
      <x:c r="E8" s="27" t="str">
        <x:v>POST_IPQ</x:v>
      </x:c>
      <x:c r="F8" s="27" t="str">
        <x:v>During the experience, I was not aware of the real world around me</x:v>
      </x:c>
      <x:c r="G8" s="27" t="str">
        <x:v>Direct (exact wording)</x:v>
      </x:c>
      <x:c r="H8" s="27" t="str">
        <x:v>Same direction</x:v>
      </x:c>
      <x:c r="I8" s="27" t="str">
        <x:v>Include in direct comparison</x:v>
      </x:c>
    </x:row>
    <x:row r="9" ht="237.60000610351562" hidden="0" customHeight="1">
      <x:c r="A9" s="27" t="str">
        <x:v>Presence / immersion</x:v>
      </x:c>
      <x:c r="B9" s="27" t="str">
        <x:v>PRE-06</x:v>
      </x:c>
      <x:c r="C9" s="27" t="str">
        <x:v>POST_IPQ</x:v>
      </x:c>
      <x:c r="D9" s="27" t="str">
        <x:v>I perceived the objects inside the virtual office as proportionally correct (i.e., they had about the right size and distance from me and other objects)</x:v>
      </x:c>
      <x:c r="E9" s="27" t="str">
        <x:v>POST_IPQ</x:v>
      </x:c>
      <x:c r="F9" s="27" t="str">
        <x:v>I perceived the objects inside the virtual office as proportionally correct (i.e., they had about the right size and distance from me and other objects)</x:v>
      </x:c>
      <x:c r="G9" s="27" t="str">
        <x:v>Direct (exact wording)</x:v>
      </x:c>
      <x:c r="H9" s="27" t="str">
        <x:v>Same direction</x:v>
      </x:c>
      <x:c r="I9" s="27" t="str">
        <x:v>Include in direct comparison</x:v>
      </x:c>
    </x:row>
    <x:row r="10" ht="118.80000305175781" hidden="0" customHeight="1">
      <x:c r="A10" s="27" t="str">
        <x:v>Presence / immersion</x:v>
      </x:c>
      <x:c r="B10" s="27" t="str">
        <x:v>PRE-07</x:v>
      </x:c>
      <x:c r="C10" s="27" t="str">
        <x:v>POST_IPQ</x:v>
      </x:c>
      <x:c r="D10" s="27" t="str">
        <x:v>I had the feeling of being able to interact with the office space (e.g. grab objects)</x:v>
      </x:c>
      <x:c r="E10" s="27" t="str">
        <x:v>POST_IPQ</x:v>
      </x:c>
      <x:c r="F10" s="27" t="str">
        <x:v>I had the feeling of being able to interact with the office space (e.g. grab objects)</x:v>
      </x:c>
      <x:c r="G10" s="27" t="str">
        <x:v>Direct (exact wording)</x:v>
      </x:c>
      <x:c r="H10" s="27" t="str">
        <x:v>Same direction</x:v>
      </x:c>
      <x:c r="I10" s="27" t="str">
        <x:v>Include in direct comparison</x:v>
      </x:c>
    </x:row>
    <x:row r="11" ht="105.5999984741211" hidden="0" customHeight="1">
      <x:c r="A11" s="27" t="str">
        <x:v>Presence / immersion</x:v>
      </x:c>
      <x:c r="B11" s="27" t="str">
        <x:v>PRE-08</x:v>
      </x:c>
      <x:c r="C11" s="27" t="str">
        <x:v>POST_IPQ</x:v>
      </x:c>
      <x:c r="D11" s="27" t="str">
        <x:v>How realistic did you find the virtual model of the office space?</x:v>
      </x:c>
      <x:c r="E11" s="27" t="str">
        <x:v>POST_IPQ</x:v>
      </x:c>
      <x:c r="F11" s="27" t="str">
        <x:v>How realistic did you find the virtual model of the office space?</x:v>
      </x:c>
      <x:c r="G11" s="27" t="str">
        <x:v>Direct (exact wording)</x:v>
      </x:c>
      <x:c r="H11" s="27" t="str">
        <x:v>Same direction</x:v>
      </x:c>
      <x:c r="I11" s="27" t="str">
        <x:v>Include in direct comparison</x:v>
      </x:c>
    </x:row>
    <x:row r="12" ht="52.79999923706055" hidden="0" customHeight="1">
      <x:c r="A12" s="27" t="str">
        <x:v>Cybersickness</x:v>
      </x:c>
      <x:c r="B12" s="27" t="str">
        <x:v>CYB-01</x:v>
      </x:c>
      <x:c r="C12" s="27" t="str">
        <x:v>POST_Cybersickness</x:v>
      </x:c>
      <x:c r="D12" s="27" t="str">
        <x:v>GENERAL DISCOMFORT</x:v>
      </x:c>
      <x:c r="E12" s="27" t="str">
        <x:v>POST_Cybersickness</x:v>
      </x:c>
      <x:c r="F12" s="27" t="str">
        <x:v>GENERAL DISCOMFORT</x:v>
      </x:c>
      <x:c r="G12" s="27" t="str">
        <x:v>Direct (exact wording)</x:v>
      </x:c>
      <x:c r="H12" s="27" t="str">
        <x:v>Same direction</x:v>
      </x:c>
      <x:c r="I12" s="27" t="str">
        <x:v>Include in direct comparison</x:v>
      </x:c>
    </x:row>
    <x:row r="13" ht="52.79999923706055" hidden="0" customHeight="1">
      <x:c r="A13" s="27" t="str">
        <x:v>Cybersickness</x:v>
      </x:c>
      <x:c r="B13" s="27" t="str">
        <x:v>CYB-02</x:v>
      </x:c>
      <x:c r="C13" s="27" t="str">
        <x:v>POST_Cybersickness</x:v>
      </x:c>
      <x:c r="D13" s="27" t="str">
        <x:v>FATIGUE</x:v>
      </x:c>
      <x:c r="E13" s="27" t="str">
        <x:v>POST_Cybersickness</x:v>
      </x:c>
      <x:c r="F13" s="27" t="str">
        <x:v>FATIGUE</x:v>
      </x:c>
      <x:c r="G13" s="27" t="str">
        <x:v>Direct (exact wording)</x:v>
      </x:c>
      <x:c r="H13" s="27" t="str">
        <x:v>Same direction</x:v>
      </x:c>
      <x:c r="I13" s="27" t="str">
        <x:v>Include in direct comparison</x:v>
      </x:c>
    </x:row>
    <x:row r="14" ht="52.79999923706055" hidden="0" customHeight="1">
      <x:c r="A14" s="27" t="str">
        <x:v>Cybersickness</x:v>
      </x:c>
      <x:c r="B14" s="27" t="str">
        <x:v>CYB-03</x:v>
      </x:c>
      <x:c r="C14" s="27" t="str">
        <x:v>POST_Cybersickness</x:v>
      </x:c>
      <x:c r="D14" s="27" t="str">
        <x:v>EYE STRAIN</x:v>
      </x:c>
      <x:c r="E14" s="27" t="str">
        <x:v>POST_Cybersickness</x:v>
      </x:c>
      <x:c r="F14" s="27" t="str">
        <x:v>EYE STRAIN</x:v>
      </x:c>
      <x:c r="G14" s="27" t="str">
        <x:v>Direct (exact wording)</x:v>
      </x:c>
      <x:c r="H14" s="27" t="str">
        <x:v>Same direction</x:v>
      </x:c>
      <x:c r="I14" s="27" t="str">
        <x:v>Include in direct comparison</x:v>
      </x:c>
    </x:row>
    <x:row r="15" ht="52.79999923706055" hidden="0" customHeight="1">
      <x:c r="A15" s="27" t="str">
        <x:v>Cybersickness</x:v>
      </x:c>
      <x:c r="B15" s="27" t="str">
        <x:v>CYB-04</x:v>
      </x:c>
      <x:c r="C15" s="27" t="str">
        <x:v>POST_Cybersickness</x:v>
      </x:c>
      <x:c r="D15" s="27" t="str">
        <x:v>DIFFICULTY IN FOCUSING</x:v>
      </x:c>
      <x:c r="E15" s="27" t="str">
        <x:v>POST_Cybersickness</x:v>
      </x:c>
      <x:c r="F15" s="27" t="str">
        <x:v>DIFFICULTY IN FOCUSING</x:v>
      </x:c>
      <x:c r="G15" s="27" t="str">
        <x:v>Direct (exact wording)</x:v>
      </x:c>
      <x:c r="H15" s="27" t="str">
        <x:v>Same direction</x:v>
      </x:c>
      <x:c r="I15" s="27" t="str">
        <x:v>Include in direct comparison</x:v>
      </x:c>
    </x:row>
    <x:row r="16" ht="52.79999923706055" hidden="0" customHeight="1">
      <x:c r="A16" s="27" t="str">
        <x:v>Cybersickness</x:v>
      </x:c>
      <x:c r="B16" s="27" t="str">
        <x:v>CYB-05</x:v>
      </x:c>
      <x:c r="C16" s="27" t="str">
        <x:v>POST_Cybersickness</x:v>
      </x:c>
      <x:c r="D16" s="27" t="str">
        <x:v>HEADACHE</x:v>
      </x:c>
      <x:c r="E16" s="27" t="str">
        <x:v>POST_Cybersickness</x:v>
      </x:c>
      <x:c r="F16" s="27" t="str">
        <x:v>HEADACHE</x:v>
      </x:c>
      <x:c r="G16" s="27" t="str">
        <x:v>Direct (exact wording)</x:v>
      </x:c>
      <x:c r="H16" s="27" t="str">
        <x:v>Same direction</x:v>
      </x:c>
      <x:c r="I16" s="27" t="str">
        <x:v>Include in direct comparison</x:v>
      </x:c>
    </x:row>
    <x:row r="17" ht="52.79999923706055" hidden="0" customHeight="1">
      <x:c r="A17" s="27" t="str">
        <x:v>Cybersickness</x:v>
      </x:c>
      <x:c r="B17" s="27" t="str">
        <x:v>CYB-06</x:v>
      </x:c>
      <x:c r="C17" s="27" t="str">
        <x:v>POST_Cybersickness</x:v>
      </x:c>
      <x:c r="D17" s="27" t="str">
        <x:v>VERTIGO</x:v>
      </x:c>
      <x:c r="E17" s="27" t="str">
        <x:v>POST_Cybersickness</x:v>
      </x:c>
      <x:c r="F17" s="27" t="str">
        <x:v>VERTIGO</x:v>
      </x:c>
      <x:c r="G17" s="27" t="str">
        <x:v>Direct (exact wording)</x:v>
      </x:c>
      <x:c r="H17" s="27" t="str">
        <x:v>Same direction</x:v>
      </x:c>
      <x:c r="I17" s="27" t="str">
        <x:v>Include in direct comparison</x:v>
      </x:c>
    </x:row>
    <x:row r="18" ht="92.4000015258789" hidden="0" customHeight="1">
      <x:c r="A18" s="27" t="str">
        <x:v>Common experience/usability</x:v>
      </x:c>
      <x:c r="B18" s="27" t="str">
        <x:v>COM-01</x:v>
      </x:c>
      <x:c r="C18" s="27" t="str">
        <x:v>POST_Cave</x:v>
      </x:c>
      <x:c r="D18" s="27" t="str">
        <x:v>I felt comfortable during the training activity in the CAVE</x:v>
      </x:c>
      <x:c r="E18" s="27" t="str">
        <x:v>POST_iCare_SUS</x:v>
      </x:c>
      <x:c r="F18" s="27" t="str">
        <x:v>I felt comfortable during the training activity in the iCARE</x:v>
      </x:c>
      <x:c r="G18" s="27" t="str">
        <x:v>Direct (modality label only)</x:v>
      </x:c>
      <x:c r="H18" s="27" t="str">
        <x:v>Same direction</x:v>
      </x:c>
      <x:c r="I18" s="27" t="str">
        <x:v>Include in direct comparison</x:v>
      </x:c>
    </x:row>
    <x:row r="19" ht="79.19999694824219" hidden="0" customHeight="1">
      <x:c r="A19" s="27" t="str">
        <x:v>Common experience/usability</x:v>
      </x:c>
      <x:c r="B19" s="27" t="str">
        <x:v>COM-02</x:v>
      </x:c>
      <x:c r="C19" s="27" t="str">
        <x:v>POST_Cave</x:v>
      </x:c>
      <x:c r="D19" s="27" t="str">
        <x:v>I enjoyed carrying out the training activity in the CAVE</x:v>
      </x:c>
      <x:c r="E19" s="27" t="str">
        <x:v>POST_iCare_SUS</x:v>
      </x:c>
      <x:c r="F19" s="27" t="str">
        <x:v>I enjoyed carrying out the training activity in the iCARE</x:v>
      </x:c>
      <x:c r="G19" s="27" t="str">
        <x:v>Direct (modality label only)</x:v>
      </x:c>
      <x:c r="H19" s="27" t="str">
        <x:v>Same direction</x:v>
      </x:c>
      <x:c r="I19" s="27" t="str">
        <x:v>Include in direct comparison</x:v>
      </x:c>
    </x:row>
    <x:row r="20" ht="105.5999984741211" hidden="0" customHeight="1">
      <x:c r="A20" s="27" t="str">
        <x:v>Common experience/usability</x:v>
      </x:c>
      <x:c r="B20" s="27" t="str">
        <x:v>COM-03</x:v>
      </x:c>
      <x:c r="C20" s="27" t="str">
        <x:v>POST_Cave</x:v>
      </x:c>
      <x:c r="D20" s="27" t="str">
        <x:v>I believe that most people can learn from the training activity in the CAVE</x:v>
      </x:c>
      <x:c r="E20" s="27" t="str">
        <x:v>POST_iCare_SUS</x:v>
      </x:c>
      <x:c r="F20" s="27" t="str">
        <x:v>I believe that most people can learn from the training activity in the iCARE</x:v>
      </x:c>
      <x:c r="G20" s="27" t="str">
        <x:v>Direct (modality label only)</x:v>
      </x:c>
      <x:c r="H20" s="27" t="str">
        <x:v>Same direction</x:v>
      </x:c>
      <x:c r="I20" s="27" t="str">
        <x:v>Include in direct comparison</x:v>
      </x:c>
    </x:row>
    <x:row r="21" ht="198" hidden="0" customHeight="1">
      <x:c r="A21" s="27" t="str">
        <x:v>Common experience/usability</x:v>
      </x:c>
      <x:c r="B21" s="27" t="str">
        <x:v>COM-04</x:v>
      </x:c>
      <x:c r="C21" s="27" t="str">
        <x:v>POST_Cave</x:v>
      </x:c>
      <x:c r="D21" s="27" t="str">
        <x:v>The resolution (ability to distinguish details) of the visu-alization system was adequate for carrying out the training activity</x:v>
      </x:c>
      <x:c r="E21" s="27" t="str">
        <x:v>POST_iCare_SUS</x:v>
      </x:c>
      <x:c r="F21" s="27" t="str">
        <x:v>The resolution (ability to distinguish details) of the visualization system was adequate for carrying out the training activity</x:v>
      </x:c>
      <x:c r="G21" s="27" t="str">
        <x:v>Direct (typographic normalization)</x:v>
      </x:c>
      <x:c r="H21" s="27" t="str">
        <x:v>Same direction</x:v>
      </x:c>
      <x:c r="I21" s="27" t="str">
        <x:v>Include in direct comparison</x:v>
      </x:c>
    </x:row>
    <x:row r="22" ht="66" hidden="0" customHeight="1">
      <x:c r="A22" s="27" t="str">
        <x:v>Common experience/usability</x:v>
      </x:c>
      <x:c r="B22" s="27" t="str">
        <x:v>COM-05</x:v>
      </x:c>
      <x:c r="C22" s="27" t="str">
        <x:v>POST_Cave</x:v>
      </x:c>
      <x:c r="D22" s="27" t="str">
        <x:v>The displayed content was distorted</x:v>
      </x:c>
      <x:c r="E22" s="27" t="str">
        <x:v>POST_iCare_SUS</x:v>
      </x:c>
      <x:c r="F22" s="27" t="str">
        <x:v>The displayed content was distorted</x:v>
      </x:c>
      <x:c r="G22" s="27" t="str">
        <x:v>Direct (exact wording)</x:v>
      </x:c>
      <x:c r="H22" s="27" t="str">
        <x:v>Reverse 1↔7, 2↔6, 3↔5</x:v>
      </x:c>
      <x:c r="I22" s="27" t="str">
        <x:v>Include in direct comparison</x:v>
      </x:c>
    </x:row>
    <x:row r="23" ht="158.39999389648438" hidden="0" customHeight="1">
      <x:c r="A23" s="27" t="str">
        <x:v>Common experience/usability</x:v>
      </x:c>
      <x:c r="B23" s="27" t="str">
        <x:v>COM-06</x:v>
      </x:c>
      <x:c r="C23" s="27" t="str">
        <x:v>POST_Cave</x:v>
      </x:c>
      <x:c r="D23" s="27" t="str">
        <x:v>The field of view offered by the visualization system was adequate for carrying out the activity</x:v>
      </x:c>
      <x:c r="E23" s="27" t="str">
        <x:v>POST_iCare_SUS</x:v>
      </x:c>
      <x:c r="F23" s="27" t="str">
        <x:v>The field of view offered by the visualization system was adequate for carrying out the activity</x:v>
      </x:c>
      <x:c r="G23" s="27" t="str">
        <x:v>Direct (exact wording)</x:v>
      </x:c>
      <x:c r="H23" s="27" t="str">
        <x:v>Same direction</x:v>
      </x:c>
      <x:c r="I23" s="27" t="str">
        <x:v>Include in direct comparison</x:v>
      </x:c>
    </x:row>
    <x:row r="24" ht="118.80000305175781" hidden="0" customHeight="1">
      <x:c r="A24" s="27" t="str">
        <x:v>Common experience/usability</x:v>
      </x:c>
      <x:c r="B24" s="27" t="str">
        <x:v>COM-07</x:v>
      </x:c>
      <x:c r="C24" s="27" t="str">
        <x:v>POST_Cave</x:v>
      </x:c>
      <x:c r="D24" s="27" t="str">
        <x:v>I had difficulty perceiving the depth (three-dimensionality) of the displayed content</x:v>
      </x:c>
      <x:c r="E24" s="27" t="str">
        <x:v>POST_iCare_SUS</x:v>
      </x:c>
      <x:c r="F24" s="27" t="str">
        <x:v>I had difficulty perceiving the depth (three-dimensionality) of the displayed content</x:v>
      </x:c>
      <x:c r="G24" s="27" t="str">
        <x:v>Direct (exact wording)</x:v>
      </x:c>
      <x:c r="H24" s="27" t="str">
        <x:v>Reverse 1↔7, 2↔6, 3↔5</x:v>
      </x:c>
      <x:c r="I24" s="27" t="str">
        <x:v>Include in direct comparison</x:v>
      </x:c>
    </x:row>
    <x:row r="25" ht="66" hidden="0" customHeight="1">
      <x:c r="A25" s="27" t="str">
        <x:v>Original-only CAVE item</x:v>
      </x:c>
      <x:c r="B25" s="27" t="str"/>
      <x:c r="C25" s="27" t="str">
        <x:v>POST_Cave</x:v>
      </x:c>
      <x:c r="D25" s="27" t="str">
        <x:v>The training activity in the CAVE was easy</x:v>
      </x:c>
      <x:c r="E25" s="27" t="str"/>
      <x:c r="F25" s="27" t="str"/>
      <x:c r="G25" s="27" t="str">
        <x:v>Not comparable</x:v>
      </x:c>
      <x:c r="H25" s="27" t="str">
        <x:v>Do not merge</x:v>
      </x:c>
      <x:c r="I25" s="27" t="str">
        <x:v>Keep separate</x:v>
      </x:c>
    </x:row>
    <x:row r="26" ht="92.4000015258789" hidden="0" customHeight="1">
      <x:c r="A26" s="27" t="str">
        <x:v>Original-only CAVE item</x:v>
      </x:c>
      <x:c r="B26" s="27" t="str"/>
      <x:c r="C26" s="27" t="str">
        <x:v>POST_Cave</x:v>
      </x:c>
      <x:c r="D26" s="27" t="str">
        <x:v>The training activity in the CAVE was excessively complex</x:v>
      </x:c>
      <x:c r="E26" s="27" t="str"/>
      <x:c r="F26" s="27" t="str"/>
      <x:c r="G26" s="27" t="str">
        <x:v>Not comparable</x:v>
      </x:c>
      <x:c r="H26" s="27" t="str">
        <x:v>Do not merge</x:v>
      </x:c>
      <x:c r="I26" s="27" t="str">
        <x:v>Keep separate</x:v>
      </x:c>
    </x:row>
    <x:row r="27" ht="224.39999389648438" hidden="0" customHeight="1">
      <x:c r="A27" s="27" t="str">
        <x:v>Original-only CAVE item</x:v>
      </x:c>
      <x:c r="B27" s="27" t="str"/>
      <x:c r="C27" s="27" t="str">
        <x:v>POST_Cave</x:v>
      </x:c>
      <x:c r="D27" s="27" t="str">
        <x:v>The information provided by the training activity in the CAVE was consistent and well-integrated within the virtual environment</x:v>
      </x:c>
      <x:c r="E27" s="27" t="str"/>
      <x:c r="F27" s="27" t="str"/>
      <x:c r="G27" s="27" t="str">
        <x:v>Not comparable</x:v>
      </x:c>
      <x:c r="H27" s="27" t="str">
        <x:v>Do not merge</x:v>
      </x:c>
      <x:c r="I27" s="27" t="str">
        <x:v>Keep separate</x:v>
      </x:c>
    </x:row>
    <x:row r="28" ht="92.4000015258789" hidden="0" customHeight="1">
      <x:c r="A28" s="27" t="str">
        <x:v>User-only SUS</x:v>
      </x:c>
      <x:c r="B28" s="27" t="str"/>
      <x:c r="C28" s="27" t="str"/>
      <x:c r="D28" s="27" t="str"/>
      <x:c r="E28" s="27" t="str">
        <x:v>POST_iCare_SUS</x:v>
      </x:c>
      <x:c r="F28" s="27" t="str">
        <x:v>I think that I would like to use this system frequently.</x:v>
      </x:c>
      <x:c r="G28" s="27" t="str">
        <x:v>Not comparable</x:v>
      </x:c>
      <x:c r="H28" s="27" t="str">
        <x:v>Standard SUS item scoring</x:v>
      </x:c>
      <x:c r="I28" s="27" t="str">
        <x:v>Keep separate</x:v>
      </x:c>
    </x:row>
    <x:row r="29" ht="79.19999694824219" hidden="0" customHeight="1">
      <x:c r="A29" s="27" t="str">
        <x:v>User-only SUS</x:v>
      </x:c>
      <x:c r="B29" s="27" t="str"/>
      <x:c r="C29" s="27" t="str"/>
      <x:c r="D29" s="27" t="str"/>
      <x:c r="E29" s="27" t="str">
        <x:v>POST_iCare_SUS</x:v>
      </x:c>
      <x:c r="F29" s="27" t="str">
        <x:v>I found the system unnecessarily complex.</x:v>
      </x:c>
      <x:c r="G29" s="27" t="str">
        <x:v>Not comparable</x:v>
      </x:c>
      <x:c r="H29" s="27" t="str">
        <x:v>Standard SUS item scoring</x:v>
      </x:c>
      <x:c r="I29" s="27" t="str">
        <x:v>Keep separate</x:v>
      </x:c>
    </x:row>
    <x:row r="30" ht="66" hidden="0" customHeight="1">
      <x:c r="A30" s="27" t="str">
        <x:v>User-only SUS</x:v>
      </x:c>
      <x:c r="B30" s="27" t="str"/>
      <x:c r="C30" s="27" t="str"/>
      <x:c r="D30" s="27" t="str"/>
      <x:c r="E30" s="27" t="str">
        <x:v>POST_iCare_SUS</x:v>
      </x:c>
      <x:c r="F30" s="27" t="str">
        <x:v>I thought the system was easy to use.</x:v>
      </x:c>
      <x:c r="G30" s="27" t="str">
        <x:v>Not comparable</x:v>
      </x:c>
      <x:c r="H30" s="27" t="str">
        <x:v>Standard SUS item scoring</x:v>
      </x:c>
      <x:c r="I30" s="27" t="str">
        <x:v>Keep separate</x:v>
      </x:c>
    </x:row>
    <x:row r="31" ht="145.1999969482422" hidden="0" customHeight="1">
      <x:c r="A31" s="27" t="str">
        <x:v>User-only SUS</x:v>
      </x:c>
      <x:c r="B31" s="27" t="str"/>
      <x:c r="C31" s="27" t="str"/>
      <x:c r="D31" s="27" t="str"/>
      <x:c r="E31" s="27" t="str">
        <x:v>POST_iCare_SUS</x:v>
      </x:c>
      <x:c r="F31" s="27" t="str">
        <x:v>I think that I would need the support of a technical person to be able to use this system.</x:v>
      </x:c>
      <x:c r="G31" s="27" t="str">
        <x:v>Not comparable</x:v>
      </x:c>
      <x:c r="H31" s="27" t="str">
        <x:v>Standard SUS item scoring</x:v>
      </x:c>
      <x:c r="I31" s="27" t="str">
        <x:v>Keep separate</x:v>
      </x:c>
    </x:row>
    <x:row r="32" ht="118.80000305175781" hidden="0" customHeight="1">
      <x:c r="A32" s="27" t="str">
        <x:v>User-only SUS</x:v>
      </x:c>
      <x:c r="B32" s="27" t="str"/>
      <x:c r="C32" s="27" t="str"/>
      <x:c r="D32" s="27" t="str"/>
      <x:c r="E32" s="27" t="str">
        <x:v>POST_iCare_SUS</x:v>
      </x:c>
      <x:c r="F32" s="27" t="str">
        <x:v>I found the various functions in this system were well integrated.</x:v>
      </x:c>
      <x:c r="G32" s="27" t="str">
        <x:v>Not comparable</x:v>
      </x:c>
      <x:c r="H32" s="27" t="str">
        <x:v>Standard SUS item scoring</x:v>
      </x:c>
      <x:c r="I32" s="27" t="str">
        <x:v>Keep separate</x:v>
      </x:c>
    </x:row>
    <x:row r="33" ht="79.19999694824219" hidden="0" customHeight="1">
      <x:c r="A33" s="27" t="str">
        <x:v>User-only SUS</x:v>
      </x:c>
      <x:c r="B33" s="27" t="str"/>
      <x:c r="C33" s="27" t="str"/>
      <x:c r="D33" s="27" t="str"/>
      <x:c r="E33" s="27" t="str">
        <x:v>POST_iCare_SUS</x:v>
      </x:c>
      <x:c r="F33" s="27" t="str">
        <x:v>I thought there was too much inconsistency in this system.</x:v>
      </x:c>
      <x:c r="G33" s="27" t="str">
        <x:v>Not comparable</x:v>
      </x:c>
      <x:c r="H33" s="27" t="str">
        <x:v>Standard SUS item scoring</x:v>
      </x:c>
      <x:c r="I33" s="27" t="str">
        <x:v>Keep separate</x:v>
      </x:c>
    </x:row>
    <x:row r="34" ht="132" hidden="0" customHeight="1">
      <x:c r="A34" s="27" t="str">
        <x:v>User-only SUS</x:v>
      </x:c>
      <x:c r="B34" s="27" t="str"/>
      <x:c r="C34" s="27" t="str"/>
      <x:c r="D34" s="27" t="str"/>
      <x:c r="E34" s="27" t="str">
        <x:v>POST_iCare_SUS</x:v>
      </x:c>
      <x:c r="F34" s="27" t="str">
        <x:v>I would imagine that most people would learn to use this system very quickly.</x:v>
      </x:c>
      <x:c r="G34" s="27" t="str">
        <x:v>Not comparable</x:v>
      </x:c>
      <x:c r="H34" s="27" t="str">
        <x:v>Standard SUS item scoring</x:v>
      </x:c>
      <x:c r="I34" s="27" t="str">
        <x:v>Keep separate</x:v>
      </x:c>
    </x:row>
    <x:row r="35" ht="79.19999694824219" hidden="0" customHeight="1">
      <x:c r="A35" s="27" t="str">
        <x:v>User-only SUS</x:v>
      </x:c>
      <x:c r="B35" s="27" t="str"/>
      <x:c r="C35" s="27" t="str"/>
      <x:c r="D35" s="27" t="str"/>
      <x:c r="E35" s="27" t="str">
        <x:v>POST_iCare_SUS</x:v>
      </x:c>
      <x:c r="F35" s="27" t="str">
        <x:v>I found the system very cumbersome to use.</x:v>
      </x:c>
      <x:c r="G35" s="27" t="str">
        <x:v>Not comparable</x:v>
      </x:c>
      <x:c r="H35" s="27" t="str">
        <x:v>Standard SUS item scoring</x:v>
      </x:c>
      <x:c r="I35" s="27" t="str">
        <x:v>Keep separate</x:v>
      </x:c>
    </x:row>
    <x:row r="36" ht="52.79999923706055" hidden="0" customHeight="1">
      <x:c r="A36" s="27" t="str">
        <x:v>User-only SUS</x:v>
      </x:c>
      <x:c r="B36" s="27" t="str"/>
      <x:c r="C36" s="27" t="str"/>
      <x:c r="D36" s="27" t="str"/>
      <x:c r="E36" s="27" t="str">
        <x:v>POST_iCare_SUS</x:v>
      </x:c>
      <x:c r="F36" s="27" t="str">
        <x:v>I felt very confident using the system.</x:v>
      </x:c>
      <x:c r="G36" s="27" t="str">
        <x:v>Not comparable</x:v>
      </x:c>
      <x:c r="H36" s="27" t="str">
        <x:v>Standard SUS item scoring</x:v>
      </x:c>
      <x:c r="I36" s="27" t="str">
        <x:v>Keep separate</x:v>
      </x:c>
    </x:row>
    <x:row r="37" ht="118.80000305175781" hidden="0" customHeight="1">
      <x:c r="A37" s="27" t="str">
        <x:v>User-only SUS</x:v>
      </x:c>
      <x:c r="B37" s="27" t="str"/>
      <x:c r="C37" s="27" t="str"/>
      <x:c r="D37" s="27" t="str"/>
      <x:c r="E37" s="27" t="str">
        <x:v>POST_iCare_SUS</x:v>
      </x:c>
      <x:c r="F37" s="27" t="str">
        <x:v>I needed to learn a lot of things before I could get going with this system.</x:v>
      </x:c>
      <x:c r="G37" s="27" t="str">
        <x:v>Not comparable</x:v>
      </x:c>
      <x:c r="H37" s="27" t="str">
        <x:v>Standard SUS item scoring</x:v>
      </x:c>
      <x:c r="I37" s="27" t="str">
        <x:v>Keep separate</x:v>
      </x:c>
    </x:row>
  </x:sheetData>
  <x:mergeCells>
    <x:mergeCell ref="A1:I1"/>
  </x:mergeCells>
  <x:conditionalFormatting sqref="G4:G37">
    <x:cfRule type="containsText" dxfId="0" priority="1" operator="containsText" text="Not comparable"/>
    <x:cfRule type="containsText" dxfId="1" priority="2" operator="containsText" text="Direct"/>
  </x:conditionalFormatting>
  <x:pageMargins left="0.7" right="0.7" top="0.75" bottom="0.75" header="0.3" footer="0.3"/>
  <x:tableParts count="1">
    <x:tablePart xmlns:r="http://schemas.openxmlformats.org/officeDocument/2006/relationships" r:id="Rcb2065de6b3e44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0" hidden="0" customWidth="1"/>
    <x:col min="5" max="5" width="72" hidden="0" customWidth="1"/>
    <x:col min="6" max="6" width="14" hidden="0" customWidth="1"/>
    <x:col min="7" max="7" width="8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9" hidden="0" customWidth="1"/>
    <x:col min="14" max="14" width="9" hidden="0" customWidth="1"/>
  </x:cols>
  <x:sheetData>
    <x:row r="1" ht="19.200000762939453" hidden="0" customHeight="1">
      <x:c r="A1" s="26" t="str">
        <x:v>Item-level Descriptive Statistics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 ht="26.399999618530273" hidden="0" customHeight="1">
      <x:c r="A3" s="34" t="str">
        <x:v>Dataset</x:v>
      </x:c>
      <x:c r="B3" s="34" t="str">
        <x:v>Group</x:v>
      </x:c>
      <x:c r="C3" s="34" t="str">
        <x:v>Domain</x:v>
      </x:c>
      <x:c r="D3" s="34" t="str">
        <x:v>Item no.</x:v>
      </x:c>
      <x:c r="E3" s="34" t="str">
        <x:v>Item</x:v>
      </x:c>
      <x:c r="F3" s="34" t="str">
        <x:v>Reverse scored</x:v>
      </x:c>
      <x:c r="G3" s="34" t="str">
        <x:v>N</x:v>
      </x:c>
      <x:c r="H3" s="34" t="str">
        <x:v>Mean</x:v>
      </x:c>
      <x:c r="I3" s="34" t="str">
        <x:v>SD</x:v>
      </x:c>
      <x:c r="J3" s="34" t="str">
        <x:v>Median</x:v>
      </x:c>
      <x:c r="K3" s="34" t="str">
        <x:v>Q1</x:v>
      </x:c>
      <x:c r="L3" s="34" t="str">
        <x:v>Q3</x:v>
      </x:c>
      <x:c r="M3" s="34" t="str">
        <x:v>Min</x:v>
      </x:c>
      <x:c r="N3" s="34" t="str">
        <x:v>Max</x:v>
      </x:c>
    </x:row>
    <x:row r="4" ht="105.5999984741211" hidden="0" customHeight="1">
      <x:c r="A4" s="27" t="str">
        <x:v>Original</x:v>
      </x:c>
      <x:c r="B4" s="27" t="str">
        <x:v>CAVE</x:v>
      </x:c>
      <x:c r="C4" s="27" t="str">
        <x:v>Presence / immersion</x:v>
      </x:c>
      <x:c r="D4" s="27" t="n">
        <x:v>1</x:v>
      </x:c>
      <x:c r="E4" s="27" t="str">
        <x:v>I appreciate the graphics and images of the virtual model</x:v>
      </x:c>
      <x:c r="F4" s="27" t="str">
        <x:v>No</x:v>
      </x:c>
      <x:c r="G4" s="27" t="n">
        <x:v>52</x:v>
      </x:c>
      <x:c r="H4" s="35" t="n">
        <x:v>6.076923076923077</x:v>
      </x:c>
      <x:c r="I4" s="35" t="n">
        <x:v>0.8822020987202566</x:v>
      </x:c>
      <x:c r="J4" s="35" t="n">
        <x:v>6</x:v>
      </x:c>
      <x:c r="K4" s="35" t="n">
        <x:v>6</x:v>
      </x:c>
      <x:c r="L4" s="35" t="n">
        <x:v>7</x:v>
      </x:c>
      <x:c r="M4" s="35" t="n">
        <x:v>3</x:v>
      </x:c>
      <x:c r="N4" s="35" t="n">
        <x:v>7</x:v>
      </x:c>
    </x:row>
    <x:row r="5" ht="132" hidden="0" customHeight="1">
      <x:c r="A5" s="27" t="str">
        <x:v>Original</x:v>
      </x:c>
      <x:c r="B5" s="27" t="str">
        <x:v>CAVE</x:v>
      </x:c>
      <x:c r="C5" s="27" t="str">
        <x:v>Presence / immersion</x:v>
      </x:c>
      <x:c r="D5" s="27" t="n">
        <x:v>2</x:v>
      </x:c>
      <x:c r="E5" s="27" t="str">
        <x:v>I perceived the virtual space as a place I visited rather than a photo I saw</x:v>
      </x:c>
      <x:c r="F5" s="27" t="str">
        <x:v>No</x:v>
      </x:c>
      <x:c r="G5" s="27" t="n">
        <x:v>52</x:v>
      </x:c>
      <x:c r="H5" s="35" t="n">
        <x:v>5.615384615384615</x:v>
      </x:c>
      <x:c r="I5" s="35" t="n">
        <x:v>0.952887174232866</x:v>
      </x:c>
      <x:c r="J5" s="35" t="n">
        <x:v>6</x:v>
      </x:c>
      <x:c r="K5" s="35" t="n">
        <x:v>5</x:v>
      </x:c>
      <x:c r="L5" s="35" t="n">
        <x:v>6</x:v>
      </x:c>
      <x:c r="M5" s="35" t="n">
        <x:v>2</x:v>
      </x:c>
      <x:c r="N5" s="35" t="n">
        <x:v>7</x:v>
      </x:c>
    </x:row>
    <x:row r="6" ht="79.19999694824219" hidden="0" customHeight="1">
      <x:c r="A6" s="27" t="str">
        <x:v>Original</x:v>
      </x:c>
      <x:c r="B6" s="27" t="str">
        <x:v>CAVE</x:v>
      </x:c>
      <x:c r="C6" s="27" t="str">
        <x:v>Presence / immersion</x:v>
      </x:c>
      <x:c r="D6" s="27" t="n">
        <x:v>3</x:v>
      </x:c>
      <x:c r="E6" s="27" t="str">
        <x:v>During the experience, I felt present in the virtual space</x:v>
      </x:c>
      <x:c r="F6" s="27" t="str">
        <x:v>No</x:v>
      </x:c>
      <x:c r="G6" s="27" t="n">
        <x:v>52</x:v>
      </x:c>
      <x:c r="H6" s="35" t="n">
        <x:v>5.8076923076923075</x:v>
      </x:c>
      <x:c r="I6" s="35" t="n">
        <x:v>0.864063848822313</x:v>
      </x:c>
      <x:c r="J6" s="35" t="n">
        <x:v>6</x:v>
      </x:c>
      <x:c r="K6" s="35" t="n">
        <x:v>5</x:v>
      </x:c>
      <x:c r="L6" s="35" t="n">
        <x:v>6</x:v>
      </x:c>
      <x:c r="M6" s="35" t="n">
        <x:v>3</x:v>
      </x:c>
      <x:c r="N6" s="35" t="n">
        <x:v>7</x:v>
      </x:c>
    </x:row>
    <x:row r="7" ht="132" hidden="0" customHeight="1">
      <x:c r="A7" s="27" t="str">
        <x:v>Original</x:v>
      </x:c>
      <x:c r="B7" s="27" t="str">
        <x:v>CAVE</x:v>
      </x:c>
      <x:c r="C7" s="27" t="str">
        <x:v>Presence / immersion</x:v>
      </x:c>
      <x:c r="D7" s="27" t="n">
        <x:v>4</x:v>
      </x:c>
      <x:c r="E7" s="27" t="str">
        <x:v>I perceived the virtual model as immersive, that is as an adequate illusion of reality</x:v>
      </x:c>
      <x:c r="F7" s="27" t="str">
        <x:v>No</x:v>
      </x:c>
      <x:c r="G7" s="27" t="n">
        <x:v>52</x:v>
      </x:c>
      <x:c r="H7" s="35" t="n">
        <x:v>5.75</x:v>
      </x:c>
      <x:c r="I7" s="35" t="n">
        <x:v>0.9047803329982324</x:v>
      </x:c>
      <x:c r="J7" s="35" t="n">
        <x:v>6</x:v>
      </x:c>
      <x:c r="K7" s="35" t="n">
        <x:v>5</x:v>
      </x:c>
      <x:c r="L7" s="35" t="n">
        <x:v>6</x:v>
      </x:c>
      <x:c r="M7" s="35" t="n">
        <x:v>3</x:v>
      </x:c>
      <x:c r="N7" s="35" t="n">
        <x:v>7</x:v>
      </x:c>
    </x:row>
    <x:row r="8" ht="105.5999984741211" hidden="0" customHeight="1">
      <x:c r="A8" s="27" t="str">
        <x:v>Original</x:v>
      </x:c>
      <x:c r="B8" s="27" t="str">
        <x:v>CAVE</x:v>
      </x:c>
      <x:c r="C8" s="27" t="str">
        <x:v>Presence / immersion</x:v>
      </x:c>
      <x:c r="D8" s="27" t="n">
        <x:v>5</x:v>
      </x:c>
      <x:c r="E8" s="27" t="str">
        <x:v>During the experience, I was not aware of the real world around me</x:v>
      </x:c>
      <x:c r="F8" s="27" t="str">
        <x:v>No</x:v>
      </x:c>
      <x:c r="G8" s="27" t="n">
        <x:v>52</x:v>
      </x:c>
      <x:c r="H8" s="35" t="n">
        <x:v>4.1923076923076925</x:v>
      </x:c>
      <x:c r="I8" s="35" t="n">
        <x:v>1.5471474261915186</x:v>
      </x:c>
      <x:c r="J8" s="35" t="n">
        <x:v>4</x:v>
      </x:c>
      <x:c r="K8" s="35" t="n">
        <x:v>3</x:v>
      </x:c>
      <x:c r="L8" s="35" t="n">
        <x:v>5</x:v>
      </x:c>
      <x:c r="M8" s="35" t="n">
        <x:v>1</x:v>
      </x:c>
      <x:c r="N8" s="35" t="n">
        <x:v>7</x:v>
      </x:c>
    </x:row>
    <x:row r="9" ht="237.60000610351562" hidden="0" customHeight="1">
      <x:c r="A9" s="27" t="str">
        <x:v>Original</x:v>
      </x:c>
      <x:c r="B9" s="27" t="str">
        <x:v>CAVE</x:v>
      </x:c>
      <x:c r="C9" s="27" t="str">
        <x:v>Presence / immersion</x:v>
      </x:c>
      <x:c r="D9" s="27" t="n">
        <x:v>6</x:v>
      </x:c>
      <x:c r="E9" s="27" t="str">
        <x:v>I perceived the objects inside the virtual office as proportionally correct (i.e., they had about the right size and distance from me and other objects)</x:v>
      </x:c>
      <x:c r="F9" s="27" t="str">
        <x:v>No</x:v>
      </x:c>
      <x:c r="G9" s="27" t="n">
        <x:v>52</x:v>
      </x:c>
      <x:c r="H9" s="35" t="n">
        <x:v>6.115384615384615</x:v>
      </x:c>
      <x:c r="I9" s="35" t="n">
        <x:v>0.6760277913374816</x:v>
      </x:c>
      <x:c r="J9" s="35" t="n">
        <x:v>6</x:v>
      </x:c>
      <x:c r="K9" s="35" t="n">
        <x:v>6</x:v>
      </x:c>
      <x:c r="L9" s="35" t="n">
        <x:v>7</x:v>
      </x:c>
      <x:c r="M9" s="35" t="n">
        <x:v>4</x:v>
      </x:c>
      <x:c r="N9" s="35" t="n">
        <x:v>7</x:v>
      </x:c>
    </x:row>
    <x:row r="10" ht="118.80000305175781" hidden="0" customHeight="1">
      <x:c r="A10" s="27" t="str">
        <x:v>Original</x:v>
      </x:c>
      <x:c r="B10" s="27" t="str">
        <x:v>CAVE</x:v>
      </x:c>
      <x:c r="C10" s="27" t="str">
        <x:v>Presence / immersion</x:v>
      </x:c>
      <x:c r="D10" s="27" t="n">
        <x:v>7</x:v>
      </x:c>
      <x:c r="E10" s="27" t="str">
        <x:v>I had the feeling of being able to interact with the office space (e.g. grab objects)</x:v>
      </x:c>
      <x:c r="F10" s="27" t="str">
        <x:v>No</x:v>
      </x:c>
      <x:c r="G10" s="27" t="n">
        <x:v>52</x:v>
      </x:c>
      <x:c r="H10" s="35" t="n">
        <x:v>5.5</x:v>
      </x:c>
      <x:c r="I10" s="35" t="n">
        <x:v>1.2287407869720235</x:v>
      </x:c>
      <x:c r="J10" s="35" t="n">
        <x:v>6</x:v>
      </x:c>
      <x:c r="K10" s="35" t="n">
        <x:v>5</x:v>
      </x:c>
      <x:c r="L10" s="35" t="n">
        <x:v>6</x:v>
      </x:c>
      <x:c r="M10" s="35" t="n">
        <x:v>2</x:v>
      </x:c>
      <x:c r="N10" s="35" t="n">
        <x:v>7</x:v>
      </x:c>
    </x:row>
    <x:row r="11" ht="105.5999984741211" hidden="0" customHeight="1">
      <x:c r="A11" s="27" t="str">
        <x:v>Original</x:v>
      </x:c>
      <x:c r="B11" s="27" t="str">
        <x:v>CAVE</x:v>
      </x:c>
      <x:c r="C11" s="27" t="str">
        <x:v>Presence / immersion</x:v>
      </x:c>
      <x:c r="D11" s="27" t="n">
        <x:v>1</x:v>
      </x:c>
      <x:c r="E11" s="27" t="str">
        <x:v>How realistic did you find the virtual model of the office space?</x:v>
      </x:c>
      <x:c r="F11" s="27" t="str">
        <x:v>No</x:v>
      </x:c>
      <x:c r="G11" s="27" t="n">
        <x:v>52</x:v>
      </x:c>
      <x:c r="H11" s="35" t="n">
        <x:v>5.673076923076923</x:v>
      </x:c>
      <x:c r="I11" s="35" t="n">
        <x:v>0.7063064336961281</x:v>
      </x:c>
      <x:c r="J11" s="35" t="n">
        <x:v>6</x:v>
      </x:c>
      <x:c r="K11" s="35" t="n">
        <x:v>5</x:v>
      </x:c>
      <x:c r="L11" s="35" t="n">
        <x:v>6</x:v>
      </x:c>
      <x:c r="M11" s="35" t="n">
        <x:v>3</x:v>
      </x:c>
      <x:c r="N11" s="35" t="n">
        <x:v>7</x:v>
      </x:c>
    </x:row>
    <x:row r="12" ht="105.5999984741211" hidden="0" customHeight="1">
      <x:c r="A12" s="27" t="str">
        <x:v>User</x:v>
      </x:c>
      <x:c r="B12" s="27" t="str">
        <x:v>iCARE</x:v>
      </x:c>
      <x:c r="C12" s="27" t="str">
        <x:v>Presence / immersion</x:v>
      </x:c>
      <x:c r="D12" s="27" t="n">
        <x:v>1</x:v>
      </x:c>
      <x:c r="E12" s="27" t="str">
        <x:v>I appreciate the graphics and images of the virtual model</x:v>
      </x:c>
      <x:c r="F12" s="27" t="str">
        <x:v>No</x:v>
      </x:c>
      <x:c r="G12" s="27" t="n">
        <x:v>15</x:v>
      </x:c>
      <x:c r="H12" s="35" t="n">
        <x:v>5.466666666666667</x:v>
      </x:c>
      <x:c r="I12" s="35" t="n">
        <x:v>1.6417180315870612</x:v>
      </x:c>
      <x:c r="J12" s="35" t="n">
        <x:v>6</x:v>
      </x:c>
      <x:c r="K12" s="35" t="n">
        <x:v>5.5</x:v>
      </x:c>
      <x:c r="L12" s="35" t="n">
        <x:v>6</x:v>
      </x:c>
      <x:c r="M12" s="35" t="n">
        <x:v>1</x:v>
      </x:c>
      <x:c r="N12" s="35" t="n">
        <x:v>7</x:v>
      </x:c>
    </x:row>
    <x:row r="13" ht="132" hidden="0" customHeight="1">
      <x:c r="A13" s="27" t="str">
        <x:v>User</x:v>
      </x:c>
      <x:c r="B13" s="27" t="str">
        <x:v>iCARE</x:v>
      </x:c>
      <x:c r="C13" s="27" t="str">
        <x:v>Presence / immersion</x:v>
      </x:c>
      <x:c r="D13" s="27" t="n">
        <x:v>2</x:v>
      </x:c>
      <x:c r="E13" s="27" t="str">
        <x:v>I perceived the virtual space as a place I visited rather than a photo I saw</x:v>
      </x:c>
      <x:c r="F13" s="27" t="str">
        <x:v>No</x:v>
      </x:c>
      <x:c r="G13" s="27" t="n">
        <x:v>15</x:v>
      </x:c>
      <x:c r="H13" s="35" t="n">
        <x:v>5.466666666666667</x:v>
      </x:c>
      <x:c r="I13" s="35" t="n">
        <x:v>1.1254628677422756</x:v>
      </x:c>
      <x:c r="J13" s="35" t="n">
        <x:v>5</x:v>
      </x:c>
      <x:c r="K13" s="35" t="n">
        <x:v>5</x:v>
      </x:c>
      <x:c r="L13" s="35" t="n">
        <x:v>6</x:v>
      </x:c>
      <x:c r="M13" s="35" t="n">
        <x:v>3</x:v>
      </x:c>
      <x:c r="N13" s="35" t="n">
        <x:v>7</x:v>
      </x:c>
    </x:row>
    <x:row r="14" ht="79.19999694824219" hidden="0" customHeight="1">
      <x:c r="A14" s="27" t="str">
        <x:v>User</x:v>
      </x:c>
      <x:c r="B14" s="27" t="str">
        <x:v>iCARE</x:v>
      </x:c>
      <x:c r="C14" s="27" t="str">
        <x:v>Presence / immersion</x:v>
      </x:c>
      <x:c r="D14" s="27" t="n">
        <x:v>3</x:v>
      </x:c>
      <x:c r="E14" s="27" t="str">
        <x:v>During the experience, I felt present in the virtual space</x:v>
      </x:c>
      <x:c r="F14" s="27" t="str">
        <x:v>No</x:v>
      </x:c>
      <x:c r="G14" s="27" t="n">
        <x:v>15</x:v>
      </x:c>
      <x:c r="H14" s="35" t="n">
        <x:v>4.533333333333333</x:v>
      </x:c>
      <x:c r="I14" s="35" t="n">
        <x:v>1.6417180315870612</x:v>
      </x:c>
      <x:c r="J14" s="35" t="n">
        <x:v>5</x:v>
      </x:c>
      <x:c r="K14" s="35" t="n">
        <x:v>4</x:v>
      </x:c>
      <x:c r="L14" s="35" t="n">
        <x:v>6</x:v>
      </x:c>
      <x:c r="M14" s="35" t="n">
        <x:v>1</x:v>
      </x:c>
      <x:c r="N14" s="35" t="n">
        <x:v>7</x:v>
      </x:c>
    </x:row>
    <x:row r="15" ht="132" hidden="0" customHeight="1">
      <x:c r="A15" s="27" t="str">
        <x:v>User</x:v>
      </x:c>
      <x:c r="B15" s="27" t="str">
        <x:v>iCARE</x:v>
      </x:c>
      <x:c r="C15" s="27" t="str">
        <x:v>Presence / immersion</x:v>
      </x:c>
      <x:c r="D15" s="27" t="n">
        <x:v>4</x:v>
      </x:c>
      <x:c r="E15" s="27" t="str">
        <x:v>I perceived the virtual model as immersive, that is as an adequate illusion of reality</x:v>
      </x:c>
      <x:c r="F15" s="27" t="str">
        <x:v>No</x:v>
      </x:c>
      <x:c r="G15" s="27" t="n">
        <x:v>15</x:v>
      </x:c>
      <x:c r="H15" s="35" t="n">
        <x:v>4.733333333333333</x:v>
      </x:c>
      <x:c r="I15" s="35" t="n">
        <x:v>1.0327955589886446</x:v>
      </x:c>
      <x:c r="J15" s="35" t="n">
        <x:v>5</x:v>
      </x:c>
      <x:c r="K15" s="35" t="n">
        <x:v>4</x:v>
      </x:c>
      <x:c r="L15" s="35" t="n">
        <x:v>5</x:v>
      </x:c>
      <x:c r="M15" s="35" t="n">
        <x:v>3</x:v>
      </x:c>
      <x:c r="N15" s="35" t="n">
        <x:v>7</x:v>
      </x:c>
    </x:row>
    <x:row r="16" ht="105.5999984741211" hidden="0" customHeight="1">
      <x:c r="A16" s="27" t="str">
        <x:v>User</x:v>
      </x:c>
      <x:c r="B16" s="27" t="str">
        <x:v>iCARE</x:v>
      </x:c>
      <x:c r="C16" s="27" t="str">
        <x:v>Presence / immersion</x:v>
      </x:c>
      <x:c r="D16" s="27" t="n">
        <x:v>5</x:v>
      </x:c>
      <x:c r="E16" s="27" t="str">
        <x:v>During the experience, I was not aware of the real world around me</x:v>
      </x:c>
      <x:c r="F16" s="27" t="str">
        <x:v>No</x:v>
      </x:c>
      <x:c r="G16" s="27" t="n">
        <x:v>15</x:v>
      </x:c>
      <x:c r="H16" s="35" t="n">
        <x:v>3.6</x:v>
      </x:c>
      <x:c r="I16" s="35" t="n">
        <x:v>1.3522468075656264</x:v>
      </x:c>
      <x:c r="J16" s="35" t="n">
        <x:v>3</x:v>
      </x:c>
      <x:c r="K16" s="35" t="n">
        <x:v>3</x:v>
      </x:c>
      <x:c r="L16" s="35" t="n">
        <x:v>4.5</x:v>
      </x:c>
      <x:c r="M16" s="35" t="n">
        <x:v>2</x:v>
      </x:c>
      <x:c r="N16" s="35" t="n">
        <x:v>6</x:v>
      </x:c>
    </x:row>
    <x:row r="17" ht="237.60000610351562" hidden="0" customHeight="1">
      <x:c r="A17" s="27" t="str">
        <x:v>User</x:v>
      </x:c>
      <x:c r="B17" s="27" t="str">
        <x:v>iCARE</x:v>
      </x:c>
      <x:c r="C17" s="27" t="str">
        <x:v>Presence / immersion</x:v>
      </x:c>
      <x:c r="D17" s="27" t="n">
        <x:v>6</x:v>
      </x:c>
      <x:c r="E17" s="27" t="str">
        <x:v>I perceived the objects inside the virtual office as proportionally correct (i.e., they had about the right size and distance from me and other objects)</x:v>
      </x:c>
      <x:c r="F17" s="27" t="str">
        <x:v>No</x:v>
      </x:c>
      <x:c r="G17" s="27" t="n">
        <x:v>15</x:v>
      </x:c>
      <x:c r="H17" s="35" t="n">
        <x:v>4.8</x:v>
      </x:c>
      <x:c r="I17" s="35" t="n">
        <x:v>1.780850519113991</x:v>
      </x:c>
      <x:c r="J17" s="35" t="n">
        <x:v>5</x:v>
      </x:c>
      <x:c r="K17" s="35" t="n">
        <x:v>3.5</x:v>
      </x:c>
      <x:c r="L17" s="35" t="n">
        <x:v>6</x:v>
      </x:c>
      <x:c r="M17" s="35" t="n">
        <x:v>2</x:v>
      </x:c>
      <x:c r="N17" s="35" t="n">
        <x:v>7</x:v>
      </x:c>
    </x:row>
    <x:row r="18" ht="118.80000305175781" hidden="0" customHeight="1">
      <x:c r="A18" s="27" t="str">
        <x:v>User</x:v>
      </x:c>
      <x:c r="B18" s="27" t="str">
        <x:v>iCARE</x:v>
      </x:c>
      <x:c r="C18" s="27" t="str">
        <x:v>Presence / immersion</x:v>
      </x:c>
      <x:c r="D18" s="27" t="n">
        <x:v>7</x:v>
      </x:c>
      <x:c r="E18" s="27" t="str">
        <x:v>I had the feeling of being able to interact with the office space (e.g. grab objects)</x:v>
      </x:c>
      <x:c r="F18" s="27" t="str">
        <x:v>No</x:v>
      </x:c>
      <x:c r="G18" s="27" t="n">
        <x:v>15</x:v>
      </x:c>
      <x:c r="H18" s="35" t="n">
        <x:v>4.666666666666667</x:v>
      </x:c>
      <x:c r="I18" s="35" t="n">
        <x:v>1.7182493859684491</x:v>
      </x:c>
      <x:c r="J18" s="35" t="n">
        <x:v>5</x:v>
      </x:c>
      <x:c r="K18" s="35" t="n">
        <x:v>3.5</x:v>
      </x:c>
      <x:c r="L18" s="35" t="n">
        <x:v>6</x:v>
      </x:c>
      <x:c r="M18" s="35" t="n">
        <x:v>2</x:v>
      </x:c>
      <x:c r="N18" s="35" t="n">
        <x:v>7</x:v>
      </x:c>
    </x:row>
    <x:row r="19" ht="105.5999984741211" hidden="0" customHeight="1">
      <x:c r="A19" s="27" t="str">
        <x:v>User</x:v>
      </x:c>
      <x:c r="B19" s="27" t="str">
        <x:v>iCARE</x:v>
      </x:c>
      <x:c r="C19" s="27" t="str">
        <x:v>Presence / immersion</x:v>
      </x:c>
      <x:c r="D19" s="27" t="n">
        <x:v>1</x:v>
      </x:c>
      <x:c r="E19" s="27" t="str">
        <x:v>How realistic did you find the virtual model of the office space?</x:v>
      </x:c>
      <x:c r="F19" s="27" t="str">
        <x:v>No</x:v>
      </x:c>
      <x:c r="G19" s="27" t="n">
        <x:v>15</x:v>
      </x:c>
      <x:c r="H19" s="35" t="n">
        <x:v>4.333333333333333</x:v>
      </x:c>
      <x:c r="I19" s="35" t="n">
        <x:v>1.5430334996209192</x:v>
      </x:c>
      <x:c r="J19" s="35" t="n">
        <x:v>5</x:v>
      </x:c>
      <x:c r="K19" s="35" t="n">
        <x:v>3</x:v>
      </x:c>
      <x:c r="L19" s="35" t="n">
        <x:v>5.5</x:v>
      </x:c>
      <x:c r="M19" s="35" t="n">
        <x:v>2</x:v>
      </x:c>
      <x:c r="N19" s="35" t="n">
        <x:v>6</x:v>
      </x:c>
    </x:row>
    <x:row r="20" ht="39.599998474121094" hidden="0" customHeight="1">
      <x:c r="A20" s="27" t="str">
        <x:v>Original</x:v>
      </x:c>
      <x:c r="B20" s="27" t="str">
        <x:v>CAVE</x:v>
      </x:c>
      <x:c r="C20" s="27" t="str">
        <x:v>Cybersickness</x:v>
      </x:c>
      <x:c r="D20" s="27" t="n">
        <x:v>1</x:v>
      </x:c>
      <x:c r="E20" s="27" t="str">
        <x:v>GENERAL DISCOMFORT</x:v>
      </x:c>
      <x:c r="F20" s="27" t="str">
        <x:v>No</x:v>
      </x:c>
      <x:c r="G20" s="27" t="n">
        <x:v>52</x:v>
      </x:c>
      <x:c r="H20" s="35" t="n">
        <x:v>0.7307692307692307</x:v>
      </x:c>
      <x:c r="I20" s="35" t="n">
        <x:v>0.9520954107606829</x:v>
      </x:c>
      <x:c r="J20" s="35" t="n">
        <x:v>0.5</x:v>
      </x:c>
      <x:c r="K20" s="35" t="n">
        <x:v>0</x:v>
      </x:c>
      <x:c r="L20" s="35" t="n">
        <x:v>1</x:v>
      </x:c>
      <x:c r="M20" s="35" t="n">
        <x:v>0</x:v>
      </x:c>
      <x:c r="N20" s="35" t="n">
        <x:v>3</x:v>
      </x:c>
    </x:row>
    <x:row r="21" ht="26.399999618530273" hidden="0" customHeight="1">
      <x:c r="A21" s="27" t="str">
        <x:v>Original</x:v>
      </x:c>
      <x:c r="B21" s="27" t="str">
        <x:v>CAVE</x:v>
      </x:c>
      <x:c r="C21" s="27" t="str">
        <x:v>Cybersickness</x:v>
      </x:c>
      <x:c r="D21" s="27" t="n">
        <x:v>2</x:v>
      </x:c>
      <x:c r="E21" s="27" t="str">
        <x:v>FATIGUE</x:v>
      </x:c>
      <x:c r="F21" s="27" t="str">
        <x:v>No</x:v>
      </x:c>
      <x:c r="G21" s="27" t="n">
        <x:v>52</x:v>
      </x:c>
      <x:c r="H21" s="35" t="n">
        <x:v>0.3269230769230769</x:v>
      </x:c>
      <x:c r="I21" s="35" t="n">
        <x:v>0.5848128189279915</x:v>
      </x:c>
      <x:c r="J21" s="35" t="n">
        <x:v>0</x:v>
      </x:c>
      <x:c r="K21" s="35" t="n">
        <x:v>0</x:v>
      </x:c>
      <x:c r="L21" s="35" t="n">
        <x:v>1</x:v>
      </x:c>
      <x:c r="M21" s="35" t="n">
        <x:v>0</x:v>
      </x:c>
      <x:c r="N21" s="35" t="n">
        <x:v>3</x:v>
      </x:c>
    </x:row>
    <x:row r="22" ht="26.399999618530273" hidden="0" customHeight="1">
      <x:c r="A22" s="27" t="str">
        <x:v>Original</x:v>
      </x:c>
      <x:c r="B22" s="27" t="str">
        <x:v>CAVE</x:v>
      </x:c>
      <x:c r="C22" s="27" t="str">
        <x:v>Cybersickness</x:v>
      </x:c>
      <x:c r="D22" s="27" t="n">
        <x:v>3</x:v>
      </x:c>
      <x:c r="E22" s="27" t="str">
        <x:v>EYE STRAIN</x:v>
      </x:c>
      <x:c r="F22" s="27" t="str">
        <x:v>No</x:v>
      </x:c>
      <x:c r="G22" s="27" t="n">
        <x:v>52</x:v>
      </x:c>
      <x:c r="H22" s="35" t="n">
        <x:v>1.1923076923076923</x:v>
      </x:c>
      <x:c r="I22" s="35" t="n">
        <x:v>1.0853473563155884</x:v>
      </x:c>
      <x:c r="J22" s="35" t="n">
        <x:v>1</x:v>
      </x:c>
      <x:c r="K22" s="35" t="n">
        <x:v>0.75</x:v>
      </x:c>
      <x:c r="L22" s="35" t="n">
        <x:v>1</x:v>
      </x:c>
      <x:c r="M22" s="35" t="n">
        <x:v>0</x:v>
      </x:c>
      <x:c r="N22" s="35" t="n">
        <x:v>4</x:v>
      </x:c>
    </x:row>
    <x:row r="23" ht="39.599998474121094" hidden="0" customHeight="1">
      <x:c r="A23" s="27" t="str">
        <x:v>Original</x:v>
      </x:c>
      <x:c r="B23" s="27" t="str">
        <x:v>CAVE</x:v>
      </x:c>
      <x:c r="C23" s="27" t="str">
        <x:v>Cybersickness</x:v>
      </x:c>
      <x:c r="D23" s="27" t="n">
        <x:v>4</x:v>
      </x:c>
      <x:c r="E23" s="27" t="str">
        <x:v>DIFFICULTY IN FOCUSING</x:v>
      </x:c>
      <x:c r="F23" s="27" t="str">
        <x:v>No</x:v>
      </x:c>
      <x:c r="G23" s="27" t="n">
        <x:v>52</x:v>
      </x:c>
      <x:c r="H23" s="35" t="n">
        <x:v>1.3269230769230769</x:v>
      </x:c>
      <x:c r="I23" s="35" t="n">
        <x:v>1.294349012637564</x:v>
      </x:c>
      <x:c r="J23" s="35" t="n">
        <x:v>1</x:v>
      </x:c>
      <x:c r="K23" s="35" t="n">
        <x:v>0</x:v>
      </x:c>
      <x:c r="L23" s="35" t="n">
        <x:v>1.5</x:v>
      </x:c>
      <x:c r="M23" s="35" t="n">
        <x:v>0</x:v>
      </x:c>
      <x:c r="N23" s="35" t="n">
        <x:v>4</x:v>
      </x:c>
    </x:row>
    <x:row r="24" ht="26.399999618530273" hidden="0" customHeight="1">
      <x:c r="A24" s="27" t="str">
        <x:v>Original</x:v>
      </x:c>
      <x:c r="B24" s="27" t="str">
        <x:v>CAVE</x:v>
      </x:c>
      <x:c r="C24" s="27" t="str">
        <x:v>Cybersickness</x:v>
      </x:c>
      <x:c r="D24" s="27" t="n">
        <x:v>5</x:v>
      </x:c>
      <x:c r="E24" s="27" t="str">
        <x:v>HEADACHE</x:v>
      </x:c>
      <x:c r="F24" s="27" t="str">
        <x:v>No</x:v>
      </x:c>
      <x:c r="G24" s="27" t="n">
        <x:v>52</x:v>
      </x:c>
      <x:c r="H24" s="35" t="n">
        <x:v>0.1346153846153846</x:v>
      </x:c>
      <x:c r="I24" s="35" t="n">
        <x:v>0.3446422500840349</x:v>
      </x:c>
      <x:c r="J24" s="35" t="n">
        <x:v>0</x:v>
      </x:c>
      <x:c r="K24" s="35" t="n">
        <x:v>0</x:v>
      </x:c>
      <x:c r="L24" s="35" t="n">
        <x:v>0</x:v>
      </x:c>
      <x:c r="M24" s="35" t="n">
        <x:v>0</x:v>
      </x:c>
      <x:c r="N24" s="35" t="n">
        <x:v>1</x:v>
      </x:c>
    </x:row>
    <x:row r="25" ht="26.399999618530273" hidden="0" customHeight="1">
      <x:c r="A25" s="27" t="str">
        <x:v>Original</x:v>
      </x:c>
      <x:c r="B25" s="27" t="str">
        <x:v>CAVE</x:v>
      </x:c>
      <x:c r="C25" s="27" t="str">
        <x:v>Cybersickness</x:v>
      </x:c>
      <x:c r="D25" s="27" t="n">
        <x:v>6</x:v>
      </x:c>
      <x:c r="E25" s="27" t="str">
        <x:v>VERTIGO</x:v>
      </x:c>
      <x:c r="F25" s="27" t="str">
        <x:v>No</x:v>
      </x:c>
      <x:c r="G25" s="27" t="n">
        <x:v>52</x:v>
      </x:c>
      <x:c r="H25" s="35" t="n">
        <x:v>0.019230769230769232</x:v>
      </x:c>
      <x:c r="I25" s="35" t="n">
        <x:v>0.1386750490563073</x:v>
      </x:c>
      <x:c r="J25" s="35" t="n">
        <x:v>0</x:v>
      </x:c>
      <x:c r="K25" s="35" t="n">
        <x:v>0</x:v>
      </x:c>
      <x:c r="L25" s="35" t="n">
        <x:v>0</x:v>
      </x:c>
      <x:c r="M25" s="35" t="n">
        <x:v>0</x:v>
      </x:c>
      <x:c r="N25" s="35" t="n">
        <x:v>1</x:v>
      </x:c>
    </x:row>
    <x:row r="26" ht="39.599998474121094" hidden="0" customHeight="1">
      <x:c r="A26" s="27" t="str">
        <x:v>User</x:v>
      </x:c>
      <x:c r="B26" s="27" t="str">
        <x:v>iCARE</x:v>
      </x:c>
      <x:c r="C26" s="27" t="str">
        <x:v>Cybersickness</x:v>
      </x:c>
      <x:c r="D26" s="27" t="n">
        <x:v>1</x:v>
      </x:c>
      <x:c r="E26" s="27" t="str">
        <x:v>GENERAL DISCOMFORT</x:v>
      </x:c>
      <x:c r="F26" s="27" t="str">
        <x:v>No</x:v>
      </x:c>
      <x:c r="G26" s="27" t="n">
        <x:v>15</x:v>
      </x:c>
      <x:c r="H26" s="35" t="n">
        <x:v>0.3333333333333333</x:v>
      </x:c>
      <x:c r="I26" s="35" t="n">
        <x:v>0.6172133998483676</x:v>
      </x:c>
      <x:c r="J26" s="35" t="n">
        <x:v>0</x:v>
      </x:c>
      <x:c r="K26" s="35" t="n">
        <x:v>0</x:v>
      </x:c>
      <x:c r="L26" s="35" t="n">
        <x:v>0.5</x:v>
      </x:c>
      <x:c r="M26" s="35" t="n">
        <x:v>0</x:v>
      </x:c>
      <x:c r="N26" s="35" t="n">
        <x:v>2</x:v>
      </x:c>
    </x:row>
    <x:row r="27" ht="26.399999618530273" hidden="0" customHeight="1">
      <x:c r="A27" s="27" t="str">
        <x:v>User</x:v>
      </x:c>
      <x:c r="B27" s="27" t="str">
        <x:v>iCARE</x:v>
      </x:c>
      <x:c r="C27" s="27" t="str">
        <x:v>Cybersickness</x:v>
      </x:c>
      <x:c r="D27" s="27" t="n">
        <x:v>2</x:v>
      </x:c>
      <x:c r="E27" s="27" t="str">
        <x:v>FATIGUE</x:v>
      </x:c>
      <x:c r="F27" s="27" t="str">
        <x:v>No</x:v>
      </x:c>
      <x:c r="G27" s="27" t="n">
        <x:v>15</x:v>
      </x:c>
      <x:c r="H27" s="35" t="n">
        <x:v>0.06666666666666667</x:v>
      </x:c>
      <x:c r="I27" s="35" t="n">
        <x:v>0.25819888974716115</x:v>
      </x:c>
      <x:c r="J27" s="35" t="n">
        <x:v>0</x:v>
      </x:c>
      <x:c r="K27" s="35" t="n">
        <x:v>0</x:v>
      </x:c>
      <x:c r="L27" s="35" t="n">
        <x:v>0</x:v>
      </x:c>
      <x:c r="M27" s="35" t="n">
        <x:v>0</x:v>
      </x:c>
      <x:c r="N27" s="35" t="n">
        <x:v>1</x:v>
      </x:c>
    </x:row>
    <x:row r="28" ht="26.399999618530273" hidden="0" customHeight="1">
      <x:c r="A28" s="27" t="str">
        <x:v>User</x:v>
      </x:c>
      <x:c r="B28" s="27" t="str">
        <x:v>iCARE</x:v>
      </x:c>
      <x:c r="C28" s="27" t="str">
        <x:v>Cybersickness</x:v>
      </x:c>
      <x:c r="D28" s="27" t="n">
        <x:v>3</x:v>
      </x:c>
      <x:c r="E28" s="27" t="str">
        <x:v>EYE STRAIN</x:v>
      </x:c>
      <x:c r="F28" s="27" t="str">
        <x:v>No</x:v>
      </x:c>
      <x:c r="G28" s="27" t="n">
        <x:v>15</x:v>
      </x:c>
      <x:c r="H28" s="35" t="n">
        <x:v>0.7333333333333333</x:v>
      </x:c>
      <x:c r="I28" s="35" t="n">
        <x:v>1.0997835284835873</x:v>
      </x:c>
      <x:c r="J28" s="35" t="n">
        <x:v>0</x:v>
      </x:c>
      <x:c r="K28" s="35" t="n">
        <x:v>0</x:v>
      </x:c>
      <x:c r="L28" s="35" t="n">
        <x:v>1</x:v>
      </x:c>
      <x:c r="M28" s="35" t="n">
        <x:v>0</x:v>
      </x:c>
      <x:c r="N28" s="35" t="n">
        <x:v>3</x:v>
      </x:c>
    </x:row>
    <x:row r="29" ht="39.599998474121094" hidden="0" customHeight="1">
      <x:c r="A29" s="27" t="str">
        <x:v>User</x:v>
      </x:c>
      <x:c r="B29" s="27" t="str">
        <x:v>iCARE</x:v>
      </x:c>
      <x:c r="C29" s="27" t="str">
        <x:v>Cybersickness</x:v>
      </x:c>
      <x:c r="D29" s="27" t="n">
        <x:v>4</x:v>
      </x:c>
      <x:c r="E29" s="27" t="str">
        <x:v>DIFFICULTY IN FOCUSING</x:v>
      </x:c>
      <x:c r="F29" s="27" t="str">
        <x:v>No</x:v>
      </x:c>
      <x:c r="G29" s="27" t="n">
        <x:v>15</x:v>
      </x:c>
      <x:c r="H29" s="35" t="n">
        <x:v>0.5333333333333333</x:v>
      </x:c>
      <x:c r="I29" s="35" t="n">
        <x:v>0.8338093878327919</x:v>
      </x:c>
      <x:c r="J29" s="35" t="n">
        <x:v>0</x:v>
      </x:c>
      <x:c r="K29" s="35" t="n">
        <x:v>0</x:v>
      </x:c>
      <x:c r="L29" s="35" t="n">
        <x:v>1</x:v>
      </x:c>
      <x:c r="M29" s="35" t="n">
        <x:v>0</x:v>
      </x:c>
      <x:c r="N29" s="35" t="n">
        <x:v>3</x:v>
      </x:c>
    </x:row>
    <x:row r="30" ht="26.399999618530273" hidden="0" customHeight="1">
      <x:c r="A30" s="27" t="str">
        <x:v>User</x:v>
      </x:c>
      <x:c r="B30" s="27" t="str">
        <x:v>iCARE</x:v>
      </x:c>
      <x:c r="C30" s="27" t="str">
        <x:v>Cybersickness</x:v>
      </x:c>
      <x:c r="D30" s="27" t="n">
        <x:v>5</x:v>
      </x:c>
      <x:c r="E30" s="27" t="str">
        <x:v>HEADACHE</x:v>
      </x:c>
      <x:c r="F30" s="27" t="str">
        <x:v>No</x:v>
      </x:c>
      <x:c r="G30" s="27" t="n">
        <x:v>15</x:v>
      </x:c>
      <x:c r="H30" s="35" t="n">
        <x:v>0.13333333333333333</x:v>
      </x:c>
      <x:c r="I30" s="35" t="n">
        <x:v>0.3518657752744984</x:v>
      </x:c>
      <x:c r="J30" s="35" t="n">
        <x:v>0</x:v>
      </x:c>
      <x:c r="K30" s="35" t="n">
        <x:v>0</x:v>
      </x:c>
      <x:c r="L30" s="35" t="n">
        <x:v>0</x:v>
      </x:c>
      <x:c r="M30" s="35" t="n">
        <x:v>0</x:v>
      </x:c>
      <x:c r="N30" s="35" t="n">
        <x:v>1</x:v>
      </x:c>
    </x:row>
    <x:row r="31" ht="26.399999618530273" hidden="0" customHeight="1">
      <x:c r="A31" s="27" t="str">
        <x:v>User</x:v>
      </x:c>
      <x:c r="B31" s="27" t="str">
        <x:v>iCARE</x:v>
      </x:c>
      <x:c r="C31" s="27" t="str">
        <x:v>Cybersickness</x:v>
      </x:c>
      <x:c r="D31" s="27" t="n">
        <x:v>6</x:v>
      </x:c>
      <x:c r="E31" s="27" t="str">
        <x:v>VERTIGO</x:v>
      </x:c>
      <x:c r="F31" s="27" t="str">
        <x:v>No</x:v>
      </x:c>
      <x:c r="G31" s="27" t="n">
        <x:v>15</x:v>
      </x:c>
      <x:c r="H31" s="35" t="n">
        <x:v>0.4666666666666667</x:v>
      </x:c>
      <x:c r="I31" s="35" t="n">
        <x:v>0.8338093878327919</x:v>
      </x:c>
      <x:c r="J31" s="35" t="n">
        <x:v>0</x:v>
      </x:c>
      <x:c r="K31" s="35" t="n">
        <x:v>0</x:v>
      </x:c>
      <x:c r="L31" s="35" t="n">
        <x:v>0.5</x:v>
      </x:c>
      <x:c r="M31" s="35" t="n">
        <x:v>0</x:v>
      </x:c>
      <x:c r="N31" s="35" t="n">
        <x:v>2</x:v>
      </x:c>
    </x:row>
    <x:row r="32" ht="92.4000015258789" hidden="0" customHeight="1">
      <x:c r="A32" s="27" t="str">
        <x:v>Original</x:v>
      </x:c>
      <x:c r="B32" s="27" t="str">
        <x:v>CAVE</x:v>
      </x:c>
      <x:c r="C32" s="27" t="str">
        <x:v>Common experience/usability</x:v>
      </x:c>
      <x:c r="D32" s="27" t="n">
        <x:v>1</x:v>
      </x:c>
      <x:c r="E32" s="27" t="str">
        <x:v>I felt comfortable during the training activity in the CAVE</x:v>
      </x:c>
      <x:c r="F32" s="27" t="str">
        <x:v>No</x:v>
      </x:c>
      <x:c r="G32" s="27" t="n">
        <x:v>52</x:v>
      </x:c>
      <x:c r="H32" s="35" t="n">
        <x:v>6.403846153846154</x:v>
      </x:c>
      <x:c r="I32" s="35" t="n">
        <x:v>0.602596193105882</x:v>
      </x:c>
      <x:c r="J32" s="35" t="n">
        <x:v>6</x:v>
      </x:c>
      <x:c r="K32" s="35" t="n">
        <x:v>6</x:v>
      </x:c>
      <x:c r="L32" s="35" t="n">
        <x:v>7</x:v>
      </x:c>
      <x:c r="M32" s="35" t="n">
        <x:v>5</x:v>
      </x:c>
      <x:c r="N32" s="35" t="n">
        <x:v>7</x:v>
      </x:c>
    </x:row>
    <x:row r="33" ht="79.19999694824219" hidden="0" customHeight="1">
      <x:c r="A33" s="27" t="str">
        <x:v>Original</x:v>
      </x:c>
      <x:c r="B33" s="27" t="str">
        <x:v>CAVE</x:v>
      </x:c>
      <x:c r="C33" s="27" t="str">
        <x:v>Common experience/usability</x:v>
      </x:c>
      <x:c r="D33" s="27" t="n">
        <x:v>2</x:v>
      </x:c>
      <x:c r="E33" s="27" t="str">
        <x:v>I enjoyed carrying out the training activity in the CAVE</x:v>
      </x:c>
      <x:c r="F33" s="27" t="str">
        <x:v>No</x:v>
      </x:c>
      <x:c r="G33" s="27" t="n">
        <x:v>52</x:v>
      </x:c>
      <x:c r="H33" s="35" t="n">
        <x:v>6.576923076923077</x:v>
      </x:c>
      <x:c r="I33" s="35" t="n">
        <x:v>0.4988674957145865</x:v>
      </x:c>
      <x:c r="J33" s="35" t="n">
        <x:v>7</x:v>
      </x:c>
      <x:c r="K33" s="35" t="n">
        <x:v>6</x:v>
      </x:c>
      <x:c r="L33" s="35" t="n">
        <x:v>7</x:v>
      </x:c>
      <x:c r="M33" s="35" t="n">
        <x:v>6</x:v>
      </x:c>
      <x:c r="N33" s="35" t="n">
        <x:v>7</x:v>
      </x:c>
    </x:row>
    <x:row r="34" ht="105.5999984741211" hidden="0" customHeight="1">
      <x:c r="A34" s="27" t="str">
        <x:v>Original</x:v>
      </x:c>
      <x:c r="B34" s="27" t="str">
        <x:v>CAVE</x:v>
      </x:c>
      <x:c r="C34" s="27" t="str">
        <x:v>Common experience/usability</x:v>
      </x:c>
      <x:c r="D34" s="27" t="n">
        <x:v>3</x:v>
      </x:c>
      <x:c r="E34" s="27" t="str">
        <x:v>I believe that most people can learn from the training activity in the CAVE</x:v>
      </x:c>
      <x:c r="F34" s="27" t="str">
        <x:v>No</x:v>
      </x:c>
      <x:c r="G34" s="27" t="n">
        <x:v>52</x:v>
      </x:c>
      <x:c r="H34" s="35" t="n">
        <x:v>6.326923076923077</x:v>
      </x:c>
      <x:c r="I34" s="35" t="n">
        <x:v>0.6174315504224039</x:v>
      </x:c>
      <x:c r="J34" s="35" t="n">
        <x:v>6</x:v>
      </x:c>
      <x:c r="K34" s="35" t="n">
        <x:v>6</x:v>
      </x:c>
      <x:c r="L34" s="35" t="n">
        <x:v>7</x:v>
      </x:c>
      <x:c r="M34" s="35" t="n">
        <x:v>5</x:v>
      </x:c>
      <x:c r="N34" s="35" t="n">
        <x:v>7</x:v>
      </x:c>
    </x:row>
    <x:row r="35" ht="198" hidden="0" customHeight="1">
      <x:c r="A35" s="27" t="str">
        <x:v>Original</x:v>
      </x:c>
      <x:c r="B35" s="27" t="str">
        <x:v>CAVE</x:v>
      </x:c>
      <x:c r="C35" s="27" t="str">
        <x:v>Common experience/usability</x:v>
      </x:c>
      <x:c r="D35" s="27" t="n">
        <x:v>4</x:v>
      </x:c>
      <x:c r="E35" s="27" t="str">
        <x:v>The resolution (ability to distinguish details) of the visu-alization system was adequate for carrying out the training activity</x:v>
      </x:c>
      <x:c r="F35" s="27" t="str">
        <x:v>No</x:v>
      </x:c>
      <x:c r="G35" s="27" t="n">
        <x:v>52</x:v>
      </x:c>
      <x:c r="H35" s="35" t="n">
        <x:v>5.865384615384615</x:v>
      </x:c>
      <x:c r="I35" s="35" t="n">
        <x:v>0.9294494713316441</x:v>
      </x:c>
      <x:c r="J35" s="35" t="n">
        <x:v>6</x:v>
      </x:c>
      <x:c r="K35" s="35" t="n">
        <x:v>6</x:v>
      </x:c>
      <x:c r="L35" s="35" t="n">
        <x:v>6</x:v>
      </x:c>
      <x:c r="M35" s="35" t="n">
        <x:v>2</x:v>
      </x:c>
      <x:c r="N35" s="35" t="n">
        <x:v>7</x:v>
      </x:c>
    </x:row>
    <x:row r="36" ht="66" hidden="0" customHeight="1">
      <x:c r="A36" s="27" t="str">
        <x:v>Original</x:v>
      </x:c>
      <x:c r="B36" s="27" t="str">
        <x:v>CAVE</x:v>
      </x:c>
      <x:c r="C36" s="27" t="str">
        <x:v>Common experience/usability</x:v>
      </x:c>
      <x:c r="D36" s="27" t="n">
        <x:v>5</x:v>
      </x:c>
      <x:c r="E36" s="27" t="str">
        <x:v>The displayed content was distorted</x:v>
      </x:c>
      <x:c r="F36" s="27" t="str">
        <x:v>Yes</x:v>
      </x:c>
      <x:c r="G36" s="27" t="n">
        <x:v>52</x:v>
      </x:c>
      <x:c r="H36" s="35" t="n">
        <x:v>4.980769230769231</x:v>
      </x:c>
      <x:c r="I36" s="35" t="n">
        <x:v>1.6025761688836841</x:v>
      </x:c>
      <x:c r="J36" s="35" t="n">
        <x:v>6</x:v>
      </x:c>
      <x:c r="K36" s="35" t="n">
        <x:v>3</x:v>
      </x:c>
      <x:c r="L36" s="35" t="n">
        <x:v>6</x:v>
      </x:c>
      <x:c r="M36" s="35" t="n">
        <x:v>2</x:v>
      </x:c>
      <x:c r="N36" s="35" t="n">
        <x:v>7</x:v>
      </x:c>
    </x:row>
    <x:row r="37" ht="158.39999389648438" hidden="0" customHeight="1">
      <x:c r="A37" s="27" t="str">
        <x:v>Original</x:v>
      </x:c>
      <x:c r="B37" s="27" t="str">
        <x:v>CAVE</x:v>
      </x:c>
      <x:c r="C37" s="27" t="str">
        <x:v>Common experience/usability</x:v>
      </x:c>
      <x:c r="D37" s="27" t="n">
        <x:v>6</x:v>
      </x:c>
      <x:c r="E37" s="27" t="str">
        <x:v>The field of view offered by the visualization system was adequate for carrying out the activity</x:v>
      </x:c>
      <x:c r="F37" s="27" t="str">
        <x:v>No</x:v>
      </x:c>
      <x:c r="G37" s="27" t="n">
        <x:v>52</x:v>
      </x:c>
      <x:c r="H37" s="35" t="n">
        <x:v>5.923076923076923</x:v>
      </x:c>
      <x:c r="I37" s="35" t="n">
        <x:v>0.736876126183612</x:v>
      </x:c>
      <x:c r="J37" s="35" t="n">
        <x:v>6</x:v>
      </x:c>
      <x:c r="K37" s="35" t="n">
        <x:v>6</x:v>
      </x:c>
      <x:c r="L37" s="35" t="n">
        <x:v>6</x:v>
      </x:c>
      <x:c r="M37" s="35" t="n">
        <x:v>2</x:v>
      </x:c>
      <x:c r="N37" s="35" t="n">
        <x:v>7</x:v>
      </x:c>
    </x:row>
    <x:row r="38" ht="118.80000305175781" hidden="0" customHeight="1">
      <x:c r="A38" s="27" t="str">
        <x:v>Original</x:v>
      </x:c>
      <x:c r="B38" s="27" t="str">
        <x:v>CAVE</x:v>
      </x:c>
      <x:c r="C38" s="27" t="str">
        <x:v>Common experience/usability</x:v>
      </x:c>
      <x:c r="D38" s="27" t="n">
        <x:v>7</x:v>
      </x:c>
      <x:c r="E38" s="27" t="str">
        <x:v>I had difficulty perceiving the depth (three-dimensionality) of the displayed content</x:v>
      </x:c>
      <x:c r="F38" s="27" t="str">
        <x:v>Yes</x:v>
      </x:c>
      <x:c r="G38" s="27" t="n">
        <x:v>52</x:v>
      </x:c>
      <x:c r="H38" s="35" t="n">
        <x:v>5.846153846153846</x:v>
      </x:c>
      <x:c r="I38" s="35" t="n">
        <x:v>0.9157578107906766</x:v>
      </x:c>
      <x:c r="J38" s="35" t="n">
        <x:v>6</x:v>
      </x:c>
      <x:c r="K38" s="35" t="n">
        <x:v>6</x:v>
      </x:c>
      <x:c r="L38" s="35" t="n">
        <x:v>6</x:v>
      </x:c>
      <x:c r="M38" s="35" t="n">
        <x:v>3</x:v>
      </x:c>
      <x:c r="N38" s="35" t="n">
        <x:v>7</x:v>
      </x:c>
    </x:row>
    <x:row r="39" ht="92.4000015258789" hidden="0" customHeight="1">
      <x:c r="A39" s="27" t="str">
        <x:v>User</x:v>
      </x:c>
      <x:c r="B39" s="27" t="str">
        <x:v>iCARE</x:v>
      </x:c>
      <x:c r="C39" s="27" t="str">
        <x:v>Common experience/usability</x:v>
      </x:c>
      <x:c r="D39" s="27" t="n">
        <x:v>1</x:v>
      </x:c>
      <x:c r="E39" s="27" t="str">
        <x:v>I felt comfortable during the training activity in the iCARE</x:v>
      </x:c>
      <x:c r="F39" s="27" t="str">
        <x:v>No</x:v>
      </x:c>
      <x:c r="G39" s="27" t="n">
        <x:v>15</x:v>
      </x:c>
      <x:c r="H39" s="35" t="n">
        <x:v>6.066666666666666</x:v>
      </x:c>
      <x:c r="I39" s="35" t="n">
        <x:v>0.8837151016885368</x:v>
      </x:c>
      <x:c r="J39" s="35" t="n">
        <x:v>6</x:v>
      </x:c>
      <x:c r="K39" s="35" t="n">
        <x:v>6</x:v>
      </x:c>
      <x:c r="L39" s="35" t="n">
        <x:v>7</x:v>
      </x:c>
      <x:c r="M39" s="35" t="n">
        <x:v>4</x:v>
      </x:c>
      <x:c r="N39" s="35" t="n">
        <x:v>7</x:v>
      </x:c>
    </x:row>
    <x:row r="40" ht="79.19999694824219" hidden="0" customHeight="1">
      <x:c r="A40" s="27" t="str">
        <x:v>User</x:v>
      </x:c>
      <x:c r="B40" s="27" t="str">
        <x:v>iCARE</x:v>
      </x:c>
      <x:c r="C40" s="27" t="str">
        <x:v>Common experience/usability</x:v>
      </x:c>
      <x:c r="D40" s="27" t="n">
        <x:v>2</x:v>
      </x:c>
      <x:c r="E40" s="27" t="str">
        <x:v>I enjoyed carrying out the training activity in the iCARE</x:v>
      </x:c>
      <x:c r="F40" s="27" t="str">
        <x:v>No</x:v>
      </x:c>
      <x:c r="G40" s="27" t="n">
        <x:v>15</x:v>
      </x:c>
      <x:c r="H40" s="35" t="n">
        <x:v>6.4</x:v>
      </x:c>
      <x:c r="I40" s="35" t="n">
        <x:v>0.6324555320336759</x:v>
      </x:c>
      <x:c r="J40" s="35" t="n">
        <x:v>6</x:v>
      </x:c>
      <x:c r="K40" s="35" t="n">
        <x:v>6</x:v>
      </x:c>
      <x:c r="L40" s="35" t="n">
        <x:v>7</x:v>
      </x:c>
      <x:c r="M40" s="35" t="n">
        <x:v>5</x:v>
      </x:c>
      <x:c r="N40" s="35" t="n">
        <x:v>7</x:v>
      </x:c>
    </x:row>
    <x:row r="41" ht="105.5999984741211" hidden="0" customHeight="1">
      <x:c r="A41" s="27" t="str">
        <x:v>User</x:v>
      </x:c>
      <x:c r="B41" s="27" t="str">
        <x:v>iCARE</x:v>
      </x:c>
      <x:c r="C41" s="27" t="str">
        <x:v>Common experience/usability</x:v>
      </x:c>
      <x:c r="D41" s="27" t="n">
        <x:v>3</x:v>
      </x:c>
      <x:c r="E41" s="27" t="str">
        <x:v>I believe that most people can learn from the training activity in the iCARE</x:v>
      </x:c>
      <x:c r="F41" s="27" t="str">
        <x:v>No</x:v>
      </x:c>
      <x:c r="G41" s="27" t="n">
        <x:v>15</x:v>
      </x:c>
      <x:c r="H41" s="35" t="n">
        <x:v>6.133333333333334</x:v>
      </x:c>
      <x:c r="I41" s="35" t="n">
        <x:v>1.1872336794093274</x:v>
      </x:c>
      <x:c r="J41" s="35" t="n">
        <x:v>7</x:v>
      </x:c>
      <x:c r="K41" s="35" t="n">
        <x:v>5.5</x:v>
      </x:c>
      <x:c r="L41" s="35" t="n">
        <x:v>7</x:v>
      </x:c>
      <x:c r="M41" s="35" t="n">
        <x:v>3</x:v>
      </x:c>
      <x:c r="N41" s="35" t="n">
        <x:v>7</x:v>
      </x:c>
    </x:row>
    <x:row r="42" ht="198" hidden="0" customHeight="1">
      <x:c r="A42" s="27" t="str">
        <x:v>User</x:v>
      </x:c>
      <x:c r="B42" s="27" t="str">
        <x:v>iCARE</x:v>
      </x:c>
      <x:c r="C42" s="27" t="str">
        <x:v>Common experience/usability</x:v>
      </x:c>
      <x:c r="D42" s="27" t="n">
        <x:v>4</x:v>
      </x:c>
      <x:c r="E42" s="27" t="str">
        <x:v>The resolution (ability to distinguish details) of the visualization system was adequate for carrying out the training activity</x:v>
      </x:c>
      <x:c r="F42" s="27" t="str">
        <x:v>No</x:v>
      </x:c>
      <x:c r="G42" s="27" t="n">
        <x:v>15</x:v>
      </x:c>
      <x:c r="H42" s="35" t="n">
        <x:v>5.2</x:v>
      </x:c>
      <x:c r="I42" s="35" t="n">
        <x:v>1.52127765851133</x:v>
      </x:c>
      <x:c r="J42" s="35" t="n">
        <x:v>6</x:v>
      </x:c>
      <x:c r="K42" s="35" t="n">
        <x:v>4.5</x:v>
      </x:c>
      <x:c r="L42" s="35" t="n">
        <x:v>6</x:v>
      </x:c>
      <x:c r="M42" s="35" t="n">
        <x:v>1</x:v>
      </x:c>
      <x:c r="N42" s="35" t="n">
        <x:v>7</x:v>
      </x:c>
    </x:row>
    <x:row r="43" ht="66" hidden="0" customHeight="1">
      <x:c r="A43" s="27" t="str">
        <x:v>User</x:v>
      </x:c>
      <x:c r="B43" s="27" t="str">
        <x:v>iCARE</x:v>
      </x:c>
      <x:c r="C43" s="27" t="str">
        <x:v>Common experience/usability</x:v>
      </x:c>
      <x:c r="D43" s="27" t="n">
        <x:v>5</x:v>
      </x:c>
      <x:c r="E43" s="27" t="str">
        <x:v>The displayed content was distorted</x:v>
      </x:c>
      <x:c r="F43" s="27" t="str">
        <x:v>Yes</x:v>
      </x:c>
      <x:c r="G43" s="27" t="n">
        <x:v>15</x:v>
      </x:c>
      <x:c r="H43" s="35" t="n">
        <x:v>4.733333333333333</x:v>
      </x:c>
      <x:c r="I43" s="35" t="n">
        <x:v>2.051712409068047</x:v>
      </x:c>
      <x:c r="J43" s="35" t="n">
        <x:v>4</x:v>
      </x:c>
      <x:c r="K43" s="35" t="n">
        <x:v>3</x:v>
      </x:c>
      <x:c r="L43" s="35" t="n">
        <x:v>7</x:v>
      </x:c>
      <x:c r="M43" s="35" t="n">
        <x:v>2</x:v>
      </x:c>
      <x:c r="N43" s="35" t="n">
        <x:v>7</x:v>
      </x:c>
    </x:row>
    <x:row r="44" ht="158.39999389648438" hidden="0" customHeight="1">
      <x:c r="A44" s="27" t="str">
        <x:v>User</x:v>
      </x:c>
      <x:c r="B44" s="27" t="str">
        <x:v>iCARE</x:v>
      </x:c>
      <x:c r="C44" s="27" t="str">
        <x:v>Common experience/usability</x:v>
      </x:c>
      <x:c r="D44" s="27" t="n">
        <x:v>6</x:v>
      </x:c>
      <x:c r="E44" s="27" t="str">
        <x:v>The field of view offered by the visualization system was adequate for carrying out the activity</x:v>
      </x:c>
      <x:c r="F44" s="27" t="str">
        <x:v>No</x:v>
      </x:c>
      <x:c r="G44" s="27" t="n">
        <x:v>15</x:v>
      </x:c>
      <x:c r="H44" s="35" t="n">
        <x:v>5.133333333333334</x:v>
      </x:c>
      <x:c r="I44" s="35" t="n">
        <x:v>1.6417180315870612</x:v>
      </x:c>
      <x:c r="J44" s="35" t="n">
        <x:v>6</x:v>
      </x:c>
      <x:c r="K44" s="35" t="n">
        <x:v>3.5</x:v>
      </x:c>
      <x:c r="L44" s="35" t="n">
        <x:v>6</x:v>
      </x:c>
      <x:c r="M44" s="35" t="n">
        <x:v>2</x:v>
      </x:c>
      <x:c r="N44" s="35" t="n">
        <x:v>7</x:v>
      </x:c>
    </x:row>
    <x:row r="45" ht="118.80000305175781" hidden="0" customHeight="1">
      <x:c r="A45" s="27" t="str">
        <x:v>User</x:v>
      </x:c>
      <x:c r="B45" s="27" t="str">
        <x:v>iCARE</x:v>
      </x:c>
      <x:c r="C45" s="27" t="str">
        <x:v>Common experience/usability</x:v>
      </x:c>
      <x:c r="D45" s="27" t="n">
        <x:v>7</x:v>
      </x:c>
      <x:c r="E45" s="27" t="str">
        <x:v>I had difficulty perceiving the depth (three-dimensionality) of the displayed content</x:v>
      </x:c>
      <x:c r="F45" s="27" t="str">
        <x:v>Yes</x:v>
      </x:c>
      <x:c r="G45" s="27" t="n">
        <x:v>15</x:v>
      </x:c>
      <x:c r="H45" s="35" t="n">
        <x:v>5.266666666666667</x:v>
      </x:c>
      <x:c r="I45" s="35" t="n">
        <x:v>1.533747356112131</x:v>
      </x:c>
      <x:c r="J45" s="35" t="n">
        <x:v>6</x:v>
      </x:c>
      <x:c r="K45" s="35" t="n">
        <x:v>4</x:v>
      </x:c>
      <x:c r="L45" s="35" t="n">
        <x:v>6.5</x:v>
      </x:c>
      <x:c r="M45" s="35" t="n">
        <x:v>3</x:v>
      </x:c>
      <x:c r="N45" s="35" t="n">
        <x:v>7</x:v>
      </x:c>
    </x:row>
    <x:row r="46" ht="92.4000015258789" hidden="0" customHeight="1">
      <x:c r="A46" s="27" t="str">
        <x:v>User</x:v>
      </x:c>
      <x:c r="B46" s="27" t="str">
        <x:v>iCARE</x:v>
      </x:c>
      <x:c r="C46" s="27" t="str">
        <x:v>SUS item</x:v>
      </x:c>
      <x:c r="D46" s="27" t="n">
        <x:v>1</x:v>
      </x:c>
      <x:c r="E46" s="27" t="str">
        <x:v>I think that I would like to use this system frequently.</x:v>
      </x:c>
      <x:c r="F46" s="27" t="str">
        <x:v>No</x:v>
      </x:c>
      <x:c r="G46" s="27" t="n">
        <x:v>15</x:v>
      </x:c>
      <x:c r="H46" s="35" t="n">
        <x:v>3.3333333333333335</x:v>
      </x:c>
      <x:c r="I46" s="35" t="n">
        <x:v>1.0465362369445672</x:v>
      </x:c>
      <x:c r="J46" s="35" t="n">
        <x:v>4</x:v>
      </x:c>
      <x:c r="K46" s="35" t="n">
        <x:v>3</x:v>
      </x:c>
      <x:c r="L46" s="35" t="n">
        <x:v>4</x:v>
      </x:c>
      <x:c r="M46" s="35" t="n">
        <x:v>1</x:v>
      </x:c>
      <x:c r="N46" s="35" t="n">
        <x:v>5</x:v>
      </x:c>
    </x:row>
    <x:row r="47" ht="79.19999694824219" hidden="0" customHeight="1">
      <x:c r="A47" s="27" t="str">
        <x:v>User</x:v>
      </x:c>
      <x:c r="B47" s="27" t="str">
        <x:v>iCARE</x:v>
      </x:c>
      <x:c r="C47" s="27" t="str">
        <x:v>SUS item</x:v>
      </x:c>
      <x:c r="D47" s="27" t="n">
        <x:v>2</x:v>
      </x:c>
      <x:c r="E47" s="27" t="str">
        <x:v>I found the system unnecessarily complex.</x:v>
      </x:c>
      <x:c r="F47" s="27" t="str">
        <x:v>No</x:v>
      </x:c>
      <x:c r="G47" s="27" t="n">
        <x:v>15</x:v>
      </x:c>
      <x:c r="H47" s="35" t="n">
        <x:v>2.3333333333333335</x:v>
      </x:c>
      <x:c r="I47" s="35" t="n">
        <x:v>0.816496580927726</x:v>
      </x:c>
      <x:c r="J47" s="35" t="n">
        <x:v>2</x:v>
      </x:c>
      <x:c r="K47" s="35" t="n">
        <x:v>2</x:v>
      </x:c>
      <x:c r="L47" s="35" t="n">
        <x:v>2.5</x:v>
      </x:c>
      <x:c r="M47" s="35" t="n">
        <x:v>1</x:v>
      </x:c>
      <x:c r="N47" s="35" t="n">
        <x:v>4</x:v>
      </x:c>
    </x:row>
    <x:row r="48" ht="66" hidden="0" customHeight="1">
      <x:c r="A48" s="27" t="str">
        <x:v>User</x:v>
      </x:c>
      <x:c r="B48" s="27" t="str">
        <x:v>iCARE</x:v>
      </x:c>
      <x:c r="C48" s="27" t="str">
        <x:v>SUS item</x:v>
      </x:c>
      <x:c r="D48" s="27" t="n">
        <x:v>3</x:v>
      </x:c>
      <x:c r="E48" s="27" t="str">
        <x:v>I thought the system was easy to use.</x:v>
      </x:c>
      <x:c r="F48" s="27" t="str">
        <x:v>No</x:v>
      </x:c>
      <x:c r="G48" s="27" t="n">
        <x:v>15</x:v>
      </x:c>
      <x:c r="H48" s="35" t="n">
        <x:v>4.333333333333333</x:v>
      </x:c>
      <x:c r="I48" s="35" t="n">
        <x:v>0.6172133998483676</x:v>
      </x:c>
      <x:c r="J48" s="35" t="n">
        <x:v>4</x:v>
      </x:c>
      <x:c r="K48" s="35" t="n">
        <x:v>4</x:v>
      </x:c>
      <x:c r="L48" s="35" t="n">
        <x:v>5</x:v>
      </x:c>
      <x:c r="M48" s="35" t="n">
        <x:v>3</x:v>
      </x:c>
      <x:c r="N48" s="35" t="n">
        <x:v>5</x:v>
      </x:c>
    </x:row>
    <x:row r="49" ht="145.1999969482422" hidden="0" customHeight="1">
      <x:c r="A49" s="27" t="str">
        <x:v>User</x:v>
      </x:c>
      <x:c r="B49" s="27" t="str">
        <x:v>iCARE</x:v>
      </x:c>
      <x:c r="C49" s="27" t="str">
        <x:v>SUS item</x:v>
      </x:c>
      <x:c r="D49" s="27" t="n">
        <x:v>4</x:v>
      </x:c>
      <x:c r="E49" s="27" t="str">
        <x:v>I think that I would need the support of a technical person to be able to use this system.</x:v>
      </x:c>
      <x:c r="F49" s="27" t="str">
        <x:v>No</x:v>
      </x:c>
      <x:c r="G49" s="27" t="n">
        <x:v>15</x:v>
      </x:c>
      <x:c r="H49" s="35" t="n">
        <x:v>2.2</x:v>
      </x:c>
      <x:c r="I49" s="35" t="n">
        <x:v>1.082325538564332</x:v>
      </x:c>
      <x:c r="J49" s="35" t="n">
        <x:v>2</x:v>
      </x:c>
      <x:c r="K49" s="35" t="n">
        <x:v>2</x:v>
      </x:c>
      <x:c r="L49" s="35" t="n">
        <x:v>2</x:v>
      </x:c>
      <x:c r="M49" s="35" t="n">
        <x:v>1</x:v>
      </x:c>
      <x:c r="N49" s="35" t="n">
        <x:v>5</x:v>
      </x:c>
    </x:row>
    <x:row r="50" ht="118.80000305175781" hidden="0" customHeight="1">
      <x:c r="A50" s="27" t="str">
        <x:v>User</x:v>
      </x:c>
      <x:c r="B50" s="27" t="str">
        <x:v>iCARE</x:v>
      </x:c>
      <x:c r="C50" s="27" t="str">
        <x:v>SUS item</x:v>
      </x:c>
      <x:c r="D50" s="27" t="n">
        <x:v>5</x:v>
      </x:c>
      <x:c r="E50" s="27" t="str">
        <x:v>I found the various functions in this system were well integrated.</x:v>
      </x:c>
      <x:c r="F50" s="27" t="str">
        <x:v>No</x:v>
      </x:c>
      <x:c r="G50" s="27" t="n">
        <x:v>15</x:v>
      </x:c>
      <x:c r="H50" s="35" t="n">
        <x:v>3.8</x:v>
      </x:c>
      <x:c r="I50" s="35" t="n">
        <x:v>0.7745966692414834</x:v>
      </x:c>
      <x:c r="J50" s="35" t="n">
        <x:v>4</x:v>
      </x:c>
      <x:c r="K50" s="35" t="n">
        <x:v>3.5</x:v>
      </x:c>
      <x:c r="L50" s="35" t="n">
        <x:v>4</x:v>
      </x:c>
      <x:c r="M50" s="35" t="n">
        <x:v>2</x:v>
      </x:c>
      <x:c r="N50" s="35" t="n">
        <x:v>5</x:v>
      </x:c>
    </x:row>
    <x:row r="51" ht="79.19999694824219" hidden="0" customHeight="1">
      <x:c r="A51" s="27" t="str">
        <x:v>User</x:v>
      </x:c>
      <x:c r="B51" s="27" t="str">
        <x:v>iCARE</x:v>
      </x:c>
      <x:c r="C51" s="27" t="str">
        <x:v>SUS item</x:v>
      </x:c>
      <x:c r="D51" s="27" t="n">
        <x:v>6</x:v>
      </x:c>
      <x:c r="E51" s="27" t="str">
        <x:v>I thought there was too much inconsistency in this system.</x:v>
      </x:c>
      <x:c r="F51" s="27" t="str">
        <x:v>No</x:v>
      </x:c>
      <x:c r="G51" s="27" t="n">
        <x:v>15</x:v>
      </x:c>
      <x:c r="H51" s="35" t="n">
        <x:v>1.8666666666666667</x:v>
      </x:c>
      <x:c r="I51" s="35" t="n">
        <x:v>0.6399404734221844</x:v>
      </x:c>
      <x:c r="J51" s="35" t="n">
        <x:v>2</x:v>
      </x:c>
      <x:c r="K51" s="35" t="n">
        <x:v>1.5</x:v>
      </x:c>
      <x:c r="L51" s="35" t="n">
        <x:v>2</x:v>
      </x:c>
      <x:c r="M51" s="35" t="n">
        <x:v>1</x:v>
      </x:c>
      <x:c r="N51" s="35" t="n">
        <x:v>3</x:v>
      </x:c>
    </x:row>
    <x:row r="52" ht="132" hidden="0" customHeight="1">
      <x:c r="A52" s="27" t="str">
        <x:v>User</x:v>
      </x:c>
      <x:c r="B52" s="27" t="str">
        <x:v>iCARE</x:v>
      </x:c>
      <x:c r="C52" s="27" t="str">
        <x:v>SUS item</x:v>
      </x:c>
      <x:c r="D52" s="27" t="n">
        <x:v>7</x:v>
      </x:c>
      <x:c r="E52" s="27" t="str">
        <x:v>I would imagine that most people would learn to use this system very quickly.</x:v>
      </x:c>
      <x:c r="F52" s="27" t="str">
        <x:v>No</x:v>
      </x:c>
      <x:c r="G52" s="27" t="n">
        <x:v>15</x:v>
      </x:c>
      <x:c r="H52" s="35" t="n">
        <x:v>4</x:v>
      </x:c>
      <x:c r="I52" s="35" t="n">
        <x:v>0.8451542547285166</x:v>
      </x:c>
      <x:c r="J52" s="35" t="n">
        <x:v>4</x:v>
      </x:c>
      <x:c r="K52" s="35" t="n">
        <x:v>4</x:v>
      </x:c>
      <x:c r="L52" s="35" t="n">
        <x:v>4.5</x:v>
      </x:c>
      <x:c r="M52" s="35" t="n">
        <x:v>2</x:v>
      </x:c>
      <x:c r="N52" s="35" t="n">
        <x:v>5</x:v>
      </x:c>
    </x:row>
    <x:row r="53" ht="79.19999694824219" hidden="0" customHeight="1">
      <x:c r="A53" s="27" t="str">
        <x:v>User</x:v>
      </x:c>
      <x:c r="B53" s="27" t="str">
        <x:v>iCARE</x:v>
      </x:c>
      <x:c r="C53" s="27" t="str">
        <x:v>SUS item</x:v>
      </x:c>
      <x:c r="D53" s="27" t="n">
        <x:v>8</x:v>
      </x:c>
      <x:c r="E53" s="27" t="str">
        <x:v>I found the system very cumbersome to use.</x:v>
      </x:c>
      <x:c r="F53" s="27" t="str">
        <x:v>No</x:v>
      </x:c>
      <x:c r="G53" s="27" t="n">
        <x:v>15</x:v>
      </x:c>
      <x:c r="H53" s="35" t="n">
        <x:v>1.8</x:v>
      </x:c>
      <x:c r="I53" s="35" t="n">
        <x:v>0.5606119105813882</x:v>
      </x:c>
      <x:c r="J53" s="35" t="n">
        <x:v>2</x:v>
      </x:c>
      <x:c r="K53" s="35" t="n">
        <x:v>1.5</x:v>
      </x:c>
      <x:c r="L53" s="35" t="n">
        <x:v>2</x:v>
      </x:c>
      <x:c r="M53" s="35" t="n">
        <x:v>1</x:v>
      </x:c>
      <x:c r="N53" s="35" t="n">
        <x:v>3</x:v>
      </x:c>
    </x:row>
    <x:row r="54" ht="52.79999923706055" hidden="0" customHeight="1">
      <x:c r="A54" s="27" t="str">
        <x:v>User</x:v>
      </x:c>
      <x:c r="B54" s="27" t="str">
        <x:v>iCARE</x:v>
      </x:c>
      <x:c r="C54" s="27" t="str">
        <x:v>SUS item</x:v>
      </x:c>
      <x:c r="D54" s="27" t="n">
        <x:v>9</x:v>
      </x:c>
      <x:c r="E54" s="27" t="str">
        <x:v>I felt very confident using the system.</x:v>
      </x:c>
      <x:c r="F54" s="27" t="str">
        <x:v>No</x:v>
      </x:c>
      <x:c r="G54" s="27" t="n">
        <x:v>15</x:v>
      </x:c>
      <x:c r="H54" s="35" t="n">
        <x:v>4.266666666666667</x:v>
      </x:c>
      <x:c r="I54" s="35" t="n">
        <x:v>0.45773770821706344</x:v>
      </x:c>
      <x:c r="J54" s="35" t="n">
        <x:v>4</x:v>
      </x:c>
      <x:c r="K54" s="35" t="n">
        <x:v>4</x:v>
      </x:c>
      <x:c r="L54" s="35" t="n">
        <x:v>4.5</x:v>
      </x:c>
      <x:c r="M54" s="35" t="n">
        <x:v>4</x:v>
      </x:c>
      <x:c r="N54" s="35" t="n">
        <x:v>5</x:v>
      </x:c>
    </x:row>
    <x:row r="55" ht="118.80000305175781" hidden="0" customHeight="1">
      <x:c r="A55" s="27" t="str">
        <x:v>User</x:v>
      </x:c>
      <x:c r="B55" s="27" t="str">
        <x:v>iCARE</x:v>
      </x:c>
      <x:c r="C55" s="27" t="str">
        <x:v>SUS item</x:v>
      </x:c>
      <x:c r="D55" s="27" t="n">
        <x:v>10</x:v>
      </x:c>
      <x:c r="E55" s="27" t="str">
        <x:v>I needed to learn a lot of things before I could get going with this system.</x:v>
      </x:c>
      <x:c r="F55" s="27" t="str">
        <x:v>No</x:v>
      </x:c>
      <x:c r="G55" s="27" t="n">
        <x:v>15</x:v>
      </x:c>
      <x:c r="H55" s="35" t="n">
        <x:v>1.4666666666666666</x:v>
      </x:c>
      <x:c r="I55" s="35" t="n">
        <x:v>0.5163977794943223</x:v>
      </x:c>
      <x:c r="J55" s="35" t="n">
        <x:v>1</x:v>
      </x:c>
      <x:c r="K55" s="35" t="n">
        <x:v>1</x:v>
      </x:c>
      <x:c r="L55" s="35" t="n">
        <x:v>2</x:v>
      </x:c>
      <x:c r="M55" s="35" t="n">
        <x:v>1</x:v>
      </x:c>
      <x:c r="N55" s="35" t="n">
        <x:v>2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ef4bd7160e34d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4" hidden="0" customWidth="1"/>
    <x:col min="4" max="4" width="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9" hidden="0" customWidth="1"/>
    <x:col min="11" max="11" width="9" hidden="0" customWidth="1"/>
    <x:col min="12" max="12" width="18" hidden="0" customWidth="1"/>
    <x:col min="13" max="13" width="34" hidden="0" customWidth="1"/>
    <x:col min="14" max="14" width="24" hidden="0" customWidth="1"/>
    <x:col min="15" max="15" width="54" hidden="0" customWidth="1"/>
  </x:cols>
  <x:sheetData>
    <x:row r="1" ht="19.200000762939453" hidden="0" customHeight="1">
      <x:c r="A1" s="26" t="str">
        <x:v>Scale and Composite-score Statistics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 ht="26.399999618530273" hidden="0" customHeight="1">
      <x:c r="A3" s="34" t="str">
        <x:v>Dataset</x:v>
      </x:c>
      <x:c r="B3" s="34" t="str">
        <x:v>Group</x:v>
      </x:c>
      <x:c r="C3" s="34" t="str">
        <x:v>Scale</x:v>
      </x:c>
      <x:c r="D3" s="34" t="str">
        <x:v>N</x:v>
      </x:c>
      <x:c r="E3" s="34" t="str">
        <x:v>Mean</x:v>
      </x:c>
      <x:c r="F3" s="34" t="str">
        <x:v>SD</x:v>
      </x:c>
      <x:c r="G3" s="34" t="str">
        <x:v>Median</x:v>
      </x:c>
      <x:c r="H3" s="34" t="str">
        <x:v>Q1</x:v>
      </x:c>
      <x:c r="I3" s="34" t="str">
        <x:v>Q3</x:v>
      </x:c>
      <x:c r="J3" s="34" t="str">
        <x:v>Min</x:v>
      </x:c>
      <x:c r="K3" s="34" t="str">
        <x:v>Max</x:v>
      </x:c>
      <x:c r="L3" s="34" t="str">
        <x:v>Cronbach alpha</x:v>
      </x:c>
      <x:c r="M3" s="34" t="str">
        <x:v>Direction</x:v>
      </x:c>
      <x:c r="N3" s="34" t="str">
        <x:v>Status</x:v>
      </x:c>
      <x:c r="O3" s="34" t="str">
        <x:v>Notes</x:v>
      </x:c>
    </x:row>
    <x:row r="4" ht="66" hidden="0" customHeight="1">
      <x:c r="A4" s="27" t="str">
        <x:v>Original</x:v>
      </x:c>
      <x:c r="B4" s="27" t="str">
        <x:v>CAVE</x:v>
      </x:c>
      <x:c r="C4" s="27" t="str">
        <x:v>Adapted presence/immersion mean (8 items)</x:v>
      </x:c>
      <x:c r="D4" s="27" t="n">
        <x:v>52</x:v>
      </x:c>
      <x:c r="E4" s="35" t="n">
        <x:v>5.591346153846154</x:v>
      </x:c>
      <x:c r="F4" s="35" t="n">
        <x:v>0.5853163342683917</x:v>
      </x:c>
      <x:c r="G4" s="35" t="n">
        <x:v>5.5</x:v>
      </x:c>
      <x:c r="H4" s="35" t="n">
        <x:v>5.25</x:v>
      </x:c>
      <x:c r="I4" s="35" t="n">
        <x:v>6</x:v>
      </x:c>
      <x:c r="J4" s="35" t="n">
        <x:v>3.875</x:v>
      </x:c>
      <x:c r="K4" s="35" t="n">
        <x:v>6.75</x:v>
      </x:c>
      <x:c r="L4" s="35" t="n">
        <x:v>0.7200935543784824</x:v>
      </x:c>
      <x:c r="M4" s="27" t="str">
        <x:v>1–7; higher = more positive/present</x:v>
      </x:c>
      <x:c r="N4" s="27" t="str">
        <x:v>Exploratory composite</x:v>
      </x:c>
      <x:c r="O4" s="27" t="str">
        <x:v>Exploratory; not an official IPQ score</x:v>
      </x:c>
    </x:row>
    <x:row r="5" ht="66" hidden="0" customHeight="1">
      <x:c r="A5" s="27" t="str">
        <x:v>User</x:v>
      </x:c>
      <x:c r="B5" s="27" t="str">
        <x:v>iCARE</x:v>
      </x:c>
      <x:c r="C5" s="27" t="str">
        <x:v>Adapted presence/immersion mean (8 items)</x:v>
      </x:c>
      <x:c r="D5" s="27" t="n">
        <x:v>15</x:v>
      </x:c>
      <x:c r="E5" s="35" t="n">
        <x:v>4.7</x:v>
      </x:c>
      <x:c r="F5" s="35" t="n">
        <x:v>0.8028965419920907</x:v>
      </x:c>
      <x:c r="G5" s="35" t="n">
        <x:v>4.875</x:v>
      </x:c>
      <x:c r="H5" s="35" t="n">
        <x:v>3.9375</x:v>
      </x:c>
      <x:c r="I5" s="35" t="n">
        <x:v>5.3125</x:v>
      </x:c>
      <x:c r="J5" s="35" t="n">
        <x:v>3.5</x:v>
      </x:c>
      <x:c r="K5" s="35" t="n">
        <x:v>6</x:v>
      </x:c>
      <x:c r="L5" s="35" t="n">
        <x:v>0.6426592797783933</x:v>
      </x:c>
      <x:c r="M5" s="27" t="str">
        <x:v>1–7; higher = more positive/present</x:v>
      </x:c>
      <x:c r="N5" s="27" t="str">
        <x:v>Exploratory composite</x:v>
      </x:c>
      <x:c r="O5" s="27" t="str">
        <x:v>Exploratory; not an official IPQ score</x:v>
      </x:c>
    </x:row>
    <x:row r="6" ht="92.4000015258789" hidden="0" customHeight="1">
      <x:c r="A6" s="27" t="str">
        <x:v>Original</x:v>
      </x:c>
      <x:c r="B6" s="27" t="str">
        <x:v>CAVE</x:v>
      </x:c>
      <x:c r="C6" s="27" t="str">
        <x:v>Cybersickness symptom sum (6 items)</x:v>
      </x:c>
      <x:c r="D6" s="27" t="n">
        <x:v>52</x:v>
      </x:c>
      <x:c r="E6" s="35" t="n">
        <x:v>3.730769230769231</x:v>
      </x:c>
      <x:c r="F6" s="35" t="n">
        <x:v>3.030015754928202</x:v>
      </x:c>
      <x:c r="G6" s="35" t="n">
        <x:v>3</x:v>
      </x:c>
      <x:c r="H6" s="35" t="n">
        <x:v>2</x:v>
      </x:c>
      <x:c r="I6" s="35" t="n">
        <x:v>6</x:v>
      </x:c>
      <x:c r="J6" s="35" t="n">
        <x:v>0</x:v>
      </x:c>
      <x:c r="K6" s="35" t="n">
        <x:v>12</x:v>
      </x:c>
      <x:c r="L6" s="35" t="n">
        <x:v>0.6458353868900937</x:v>
      </x:c>
      <x:c r="M6" s="27" t="str">
        <x:v>0–24; higher = worse</x:v>
      </x:c>
      <x:c r="N6" s="27" t="str">
        <x:v>Exploratory composite</x:v>
      </x:c>
      <x:c r="O6" s="27" t="str">
        <x:v>Custom symptom sum; not the standard weighted SSQ total</x:v>
      </x:c>
    </x:row>
    <x:row r="7" ht="92.4000015258789" hidden="0" customHeight="1">
      <x:c r="A7" s="27" t="str">
        <x:v>User</x:v>
      </x:c>
      <x:c r="B7" s="27" t="str">
        <x:v>iCARE</x:v>
      </x:c>
      <x:c r="C7" s="27" t="str">
        <x:v>Cybersickness symptom sum (6 items)</x:v>
      </x:c>
      <x:c r="D7" s="27" t="n">
        <x:v>15</x:v>
      </x:c>
      <x:c r="E7" s="35" t="n">
        <x:v>2.2666666666666666</x:v>
      </x:c>
      <x:c r="F7" s="35" t="n">
        <x:v>3.2616093018777153</x:v>
      </x:c>
      <x:c r="G7" s="35" t="n">
        <x:v>1</x:v>
      </x:c>
      <x:c r="H7" s="35" t="n">
        <x:v>0</x:v>
      </x:c>
      <x:c r="I7" s="35" t="n">
        <x:v>3</x:v>
      </x:c>
      <x:c r="J7" s="35" t="n">
        <x:v>0</x:v>
      </x:c>
      <x:c r="K7" s="35" t="n">
        <x:v>12</x:v>
      </x:c>
      <x:c r="L7" s="35" t="n">
        <x:v>0.8422560429722471</x:v>
      </x:c>
      <x:c r="M7" s="27" t="str">
        <x:v>0–24; higher = worse</x:v>
      </x:c>
      <x:c r="N7" s="27" t="str">
        <x:v>Exploratory composite</x:v>
      </x:c>
      <x:c r="O7" s="27" t="str">
        <x:v>Custom symptom sum; not the standard weighted SSQ total</x:v>
      </x:c>
    </x:row>
    <x:row r="8" ht="118.80000305175781" hidden="0" customHeight="1">
      <x:c r="A8" s="27" t="str">
        <x:v>Original</x:v>
      </x:c>
      <x:c r="B8" s="27" t="str">
        <x:v>CAVE</x:v>
      </x:c>
      <x:c r="C8" s="27" t="str">
        <x:v>Common experience/usability mean (7 items)</x:v>
      </x:c>
      <x:c r="D8" s="27" t="n">
        <x:v>52</x:v>
      </x:c>
      <x:c r="E8" s="35" t="n">
        <x:v>5.989010989010989</x:v>
      </x:c>
      <x:c r="F8" s="35" t="n">
        <x:v>0.5600021107304258</x:v>
      </x:c>
      <x:c r="G8" s="35" t="n">
        <x:v>6.071428571428571</x:v>
      </x:c>
      <x:c r="H8" s="35" t="n">
        <x:v>5.571428571428571</x:v>
      </x:c>
      <x:c r="I8" s="35" t="n">
        <x:v>6.428571428571429</x:v>
      </x:c>
      <x:c r="J8" s="35" t="n">
        <x:v>4.428571428571429</x:v>
      </x:c>
      <x:c r="K8" s="35" t="n">
        <x:v>7</x:v>
      </x:c>
      <x:c r="L8" s="35" t="n">
        <x:v>0.725788509357414</x:v>
      </x:c>
      <x:c r="M8" s="27" t="str">
        <x:v>1–7; higher = more positive</x:v>
      </x:c>
      <x:c r="N8" s="27" t="str">
        <x:v>Exploratory composite</x:v>
      </x:c>
      <x:c r="O8" s="27" t="str">
        <x:v>Two negatively worded items reversed; exploratory common-item index</x:v>
      </x:c>
    </x:row>
    <x:row r="9" ht="118.80000305175781" hidden="0" customHeight="1">
      <x:c r="A9" s="27" t="str">
        <x:v>User</x:v>
      </x:c>
      <x:c r="B9" s="27" t="str">
        <x:v>iCARE</x:v>
      </x:c>
      <x:c r="C9" s="27" t="str">
        <x:v>Common experience/usability mean (7 items)</x:v>
      </x:c>
      <x:c r="D9" s="27" t="n">
        <x:v>15</x:v>
      </x:c>
      <x:c r="E9" s="35" t="n">
        <x:v>5.561904761904762</x:v>
      </x:c>
      <x:c r="F9" s="35" t="n">
        <x:v>0.7625847305915519</x:v>
      </x:c>
      <x:c r="G9" s="35" t="n">
        <x:v>5.714285714285714</x:v>
      </x:c>
      <x:c r="H9" s="35" t="n">
        <x:v>4.928571428571429</x:v>
      </x:c>
      <x:c r="I9" s="35" t="n">
        <x:v>6.214285714285714</x:v>
      </x:c>
      <x:c r="J9" s="35" t="n">
        <x:v>4.142857142857143</x:v>
      </x:c>
      <x:c r="K9" s="35" t="n">
        <x:v>6.428571428571429</x:v>
      </x:c>
      <x:c r="L9" s="35" t="n">
        <x:v>0.5868426916221033</x:v>
      </x:c>
      <x:c r="M9" s="27" t="str">
        <x:v>1–7; higher = more positive</x:v>
      </x:c>
      <x:c r="N9" s="27" t="str">
        <x:v>Exploratory composite</x:v>
      </x:c>
      <x:c r="O9" s="27" t="str">
        <x:v>Two negatively worded items reversed; exploratory common-item index</x:v>
      </x:c>
    </x:row>
    <x:row r="10" ht="118.80000305175781" hidden="0" customHeight="1">
      <x:c r="A10" s="27" t="str">
        <x:v>User</x:v>
      </x:c>
      <x:c r="B10" s="27" t="str">
        <x:v>iCARE</x:v>
      </x:c>
      <x:c r="C10" s="27" t="str">
        <x:v>System Usability Scale (SUS)</x:v>
      </x:c>
      <x:c r="D10" s="27" t="n">
        <x:v>15</x:v>
      </x:c>
      <x:c r="E10" s="35" t="n">
        <x:v>75.16666666666667</x:v>
      </x:c>
      <x:c r="F10" s="35" t="n">
        <x:v>10.371090772407877</x:v>
      </x:c>
      <x:c r="G10" s="35" t="n">
        <x:v>75</x:v>
      </x:c>
      <x:c r="H10" s="35" t="n">
        <x:v>68.75</x:v>
      </x:c>
      <x:c r="I10" s="35" t="n">
        <x:v>81.25</x:v>
      </x:c>
      <x:c r="J10" s="35" t="n">
        <x:v>60</x:v>
      </x:c>
      <x:c r="K10" s="35" t="n">
        <x:v>92.5</x:v>
      </x:c>
      <x:c r="L10" s="35" t="n">
        <x:v>0.7347967779622455</x:v>
      </x:c>
      <x:c r="M10" s="27" t="str">
        <x:v>0–100; higher = better usability</x:v>
      </x:c>
      <x:c r="N10" s="27" t="str">
        <x:v>Validated scoring; user only</x:v>
      </x:c>
      <x:c r="O10" s="27" t="str">
        <x:v>Standard 10-item SUS scoring; no original-study comparator</x:v>
      </x:c>
    </x:row>
  </x:sheetData>
  <x:mergeCells>
    <x:mergeCell ref="A1:O1"/>
  </x:mergeCells>
  <x:conditionalFormatting sqref="L4:L10">
    <x:cfRule type="cellIs" dxfId="2" priority="1" operator="lessThan">
      <x:formula>0.6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5fcb035a2246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</x:cols>
  <x:sheetData>
    <x:row r="1" ht="28" customHeight="1">
      <x:c r="A1" s="42" t="str">
        <x:v>Participant-level Coded Items and Scores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G1" s="43"/>
      <x:c r="AH1" s="43"/>
      <x:c r="AI1" s="43"/>
      <x:c r="AJ1" s="43"/>
      <x:c r="AK1" s="43"/>
      <x:c r="AL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  <x:c r="AA2" s="43"/>
      <x:c r="AB2" s="43"/>
      <x:c r="AC2" s="43"/>
      <x:c r="AD2" s="43"/>
      <x:c r="AE2" s="43"/>
      <x:c r="AF2" s="43"/>
      <x:c r="AG2" s="43"/>
      <x:c r="AH2" s="43"/>
      <x:c r="AI2" s="43"/>
      <x:c r="AJ2" s="43"/>
      <x:c r="AK2" s="43"/>
      <x:c r="AL2" s="43"/>
    </x:row>
    <x:row r="3">
      <x:c r="A3" s="34" t="str">
        <x:v>Dataset</x:v>
      </x:c>
      <x:c r="B3" s="34" t="str">
        <x:v>Group</x:v>
      </x:c>
      <x:c r="C3" s="34" t="str">
        <x:v>UserID</x:v>
      </x:c>
      <x:c r="D3" s="34" t="str">
        <x:v>Presence_1</x:v>
      </x:c>
      <x:c r="E3" s="34" t="str">
        <x:v>Presence_2</x:v>
      </x:c>
      <x:c r="F3" s="34" t="str">
        <x:v>Presence_3</x:v>
      </x:c>
      <x:c r="G3" s="34" t="str">
        <x:v>Presence_4</x:v>
      </x:c>
      <x:c r="H3" s="34" t="str">
        <x:v>Presence_5</x:v>
      </x:c>
      <x:c r="I3" s="34" t="str">
        <x:v>Presence_6</x:v>
      </x:c>
      <x:c r="J3" s="34" t="str">
        <x:v>Presence_7</x:v>
      </x:c>
      <x:c r="K3" s="34" t="str">
        <x:v>Presence_8</x:v>
      </x:c>
      <x:c r="L3" s="34" t="str">
        <x:v>Cyber_1</x:v>
      </x:c>
      <x:c r="M3" s="34" t="str">
        <x:v>Cyber_2</x:v>
      </x:c>
      <x:c r="N3" s="34" t="str">
        <x:v>Cyber_3</x:v>
      </x:c>
      <x:c r="O3" s="34" t="str">
        <x:v>Cyber_4</x:v>
      </x:c>
      <x:c r="P3" s="34" t="str">
        <x:v>Cyber_5</x:v>
      </x:c>
      <x:c r="Q3" s="34" t="str">
        <x:v>Cyber_6</x:v>
      </x:c>
      <x:c r="R3" s="34" t="str">
        <x:v>Common_1</x:v>
      </x:c>
      <x:c r="S3" s="34" t="str">
        <x:v>Common_2</x:v>
      </x:c>
      <x:c r="T3" s="34" t="str">
        <x:v>Common_3</x:v>
      </x:c>
      <x:c r="U3" s="34" t="str">
        <x:v>Common_4</x:v>
      </x:c>
      <x:c r="V3" s="34" t="str">
        <x:v>Common_5</x:v>
      </x:c>
      <x:c r="W3" s="34" t="str">
        <x:v>Common_6</x:v>
      </x:c>
      <x:c r="X3" s="34" t="str">
        <x:v>Common_7</x:v>
      </x:c>
      <x:c r="Y3" s="34" t="str">
        <x:v>SUS_1</x:v>
      </x:c>
      <x:c r="Z3" s="34" t="str">
        <x:v>SUS_2</x:v>
      </x:c>
      <x:c r="AA3" s="34" t="str">
        <x:v>SUS_3</x:v>
      </x:c>
      <x:c r="AB3" s="34" t="str">
        <x:v>SUS_4</x:v>
      </x:c>
      <x:c r="AC3" s="34" t="str">
        <x:v>SUS_5</x:v>
      </x:c>
      <x:c r="AD3" s="34" t="str">
        <x:v>SUS_6</x:v>
      </x:c>
      <x:c r="AE3" s="34" t="str">
        <x:v>SUS_7</x:v>
      </x:c>
      <x:c r="AF3" s="34" t="str">
        <x:v>SUS_8</x:v>
      </x:c>
      <x:c r="AG3" s="34" t="str">
        <x:v>SUS_9</x:v>
      </x:c>
      <x:c r="AH3" s="34" t="str">
        <x:v>SUS_10</x:v>
      </x:c>
      <x:c r="AI3" s="34" t="str">
        <x:v>Presence mean</x:v>
      </x:c>
      <x:c r="AJ3" s="34" t="str">
        <x:v>Cyber sum</x:v>
      </x:c>
      <x:c r="AK3" s="34" t="str">
        <x:v>Common mean</x:v>
      </x:c>
      <x:c r="AL3" s="34" t="str">
        <x:v>SUS score</x:v>
      </x:c>
    </x:row>
    <x:row r="4">
      <x:c r="A4" s="43" t="str">
        <x:v>Original</x:v>
      </x:c>
      <x:c r="B4" s="43" t="str">
        <x:v>CAVE</x:v>
      </x:c>
      <x:c r="C4" s="43" t="n">
        <x:v>53</x:v>
      </x:c>
      <x:c r="D4" s="44" t="n">
        <x:v>7</x:v>
      </x:c>
      <x:c r="E4" s="44" t="n">
        <x:v>7</x:v>
      </x:c>
      <x:c r="F4" s="44" t="n">
        <x:v>7</x:v>
      </x:c>
      <x:c r="G4" s="44" t="n">
        <x:v>7</x:v>
      </x:c>
      <x:c r="H4" s="44" t="n">
        <x:v>5</x:v>
      </x:c>
      <x:c r="I4" s="44" t="n">
        <x:v>7</x:v>
      </x:c>
      <x:c r="J4" s="44" t="n">
        <x:v>7</x:v>
      </x:c>
      <x:c r="K4" s="44" t="n">
        <x:v>6</x:v>
      </x:c>
      <x:c r="L4" s="45" t="n">
        <x:v>0</x:v>
      </x:c>
      <x:c r="M4" s="45" t="n">
        <x:v>0</x:v>
      </x:c>
      <x:c r="N4" s="45" t="n">
        <x:v>1</x:v>
      </x:c>
      <x:c r="O4" s="45" t="n">
        <x:v>1</x:v>
      </x:c>
      <x:c r="P4" s="45" t="n">
        <x:v>0</x:v>
      </x:c>
      <x:c r="Q4" s="45" t="n">
        <x:v>0</x:v>
      </x:c>
      <x:c r="R4" s="46" t="n">
        <x:v>7</x:v>
      </x:c>
      <x:c r="S4" s="46" t="n">
        <x:v>7</x:v>
      </x:c>
      <x:c r="T4" s="46" t="n">
        <x:v>7</x:v>
      </x:c>
      <x:c r="U4" s="46" t="n">
        <x:v>7</x:v>
      </x:c>
      <x:c r="V4" s="46" t="n">
        <x:v>7</x:v>
      </x:c>
      <x:c r="W4" s="46" t="n">
        <x:v>7</x:v>
      </x:c>
      <x:c r="X4" s="46" t="n">
        <x:v>7</x:v>
      </x:c>
      <x:c r="Y4" s="47"/>
      <x:c r="Z4" s="47"/>
      <x:c r="AA4" s="47"/>
      <x:c r="AB4" s="47"/>
      <x:c r="AC4" s="47"/>
      <x:c r="AD4" s="47"/>
      <x:c r="AE4" s="47"/>
      <x:c r="AF4" s="47"/>
      <x:c r="AG4" s="47"/>
      <x:c r="AH4" s="47"/>
      <x:c r="AI4" s="48" t="n">
        <x:f>AVERAGE(D4:K4)</x:f>
        <x:v>6.625</x:v>
      </x:c>
      <x:c r="AJ4" s="48" t="n">
        <x:f>SUM(L4:Q4)</x:f>
        <x:v>2</x:v>
      </x:c>
      <x:c r="AK4" s="48" t="n">
        <x:f>AVERAGE(R4:X4)</x:f>
        <x:v>7</x:v>
      </x:c>
      <x:c r="AL4" s="48" t="str">
        <x:f>IF(COUNT(Y4:AH4)=10,((Y4-1)+(5-Z4)+(AA4-1)+(5-AB4)+(AC4-1)+(5-AD4)+(AE4-1)+(5-AF4)+(AG4-1)+(5-AH4))*2.5,"")</x:f>
      </x:c>
    </x:row>
    <x:row r="5">
      <x:c r="A5" s="43" t="str">
        <x:v>Original</x:v>
      </x:c>
      <x:c r="B5" s="43" t="str">
        <x:v>CAVE</x:v>
      </x:c>
      <x:c r="C5" s="43" t="n">
        <x:v>54</x:v>
      </x:c>
      <x:c r="D5" s="44" t="n">
        <x:v>7</x:v>
      </x:c>
      <x:c r="E5" s="44" t="n">
        <x:v>7</x:v>
      </x:c>
      <x:c r="F5" s="44" t="n">
        <x:v>7</x:v>
      </x:c>
      <x:c r="G5" s="44" t="n">
        <x:v>6</x:v>
      </x:c>
      <x:c r="H5" s="44" t="n">
        <x:v>6</x:v>
      </x:c>
      <x:c r="I5" s="44" t="n">
        <x:v>7</x:v>
      </x:c>
      <x:c r="J5" s="44" t="n">
        <x:v>7</x:v>
      </x:c>
      <x:c r="K5" s="44" t="n">
        <x:v>7</x:v>
      </x:c>
      <x:c r="L5" s="45" t="n">
        <x:v>0</x:v>
      </x:c>
      <x:c r="M5" s="45" t="n">
        <x:v>0</x:v>
      </x:c>
      <x:c r="N5" s="45" t="n">
        <x:v>0</x:v>
      </x:c>
      <x:c r="O5" s="45" t="n">
        <x:v>0</x:v>
      </x:c>
      <x:c r="P5" s="45" t="n">
        <x:v>0</x:v>
      </x:c>
      <x:c r="Q5" s="45" t="n">
        <x:v>0</x:v>
      </x:c>
      <x:c r="R5" s="46" t="n">
        <x:v>7</x:v>
      </x:c>
      <x:c r="S5" s="46" t="n">
        <x:v>7</x:v>
      </x:c>
      <x:c r="T5" s="46" t="n">
        <x:v>6</x:v>
      </x:c>
      <x:c r="U5" s="46" t="n">
        <x:v>6</x:v>
      </x:c>
      <x:c r="V5" s="46" t="n">
        <x:v>7</x:v>
      </x:c>
      <x:c r="W5" s="46" t="n">
        <x:v>6</x:v>
      </x:c>
      <x:c r="X5" s="46" t="n">
        <x:v>7</x:v>
      </x:c>
      <x:c r="Y5" s="47"/>
      <x:c r="Z5" s="47"/>
      <x:c r="AA5" s="47"/>
      <x:c r="AB5" s="47"/>
      <x:c r="AC5" s="47"/>
      <x:c r="AD5" s="47"/>
      <x:c r="AE5" s="47"/>
      <x:c r="AF5" s="47"/>
      <x:c r="AG5" s="47"/>
      <x:c r="AH5" s="47"/>
      <x:c r="AI5" s="48" t="n">
        <x:f>AVERAGE(D5:K5)</x:f>
        <x:v>6.75</x:v>
      </x:c>
      <x:c r="AJ5" s="48" t="n">
        <x:f>SUM(L5:Q5)</x:f>
        <x:v>0</x:v>
      </x:c>
      <x:c r="AK5" s="48" t="n">
        <x:f>AVERAGE(R5:X5)</x:f>
        <x:v>6.571428571428571</x:v>
      </x:c>
      <x:c r="AL5" s="48" t="str">
        <x:f>IF(COUNT(Y5:AH5)=10,((Y5-1)+(5-Z5)+(AA5-1)+(5-AB5)+(AC5-1)+(5-AD5)+(AE5-1)+(5-AF5)+(AG5-1)+(5-AH5))*2.5,"")</x:f>
      </x:c>
    </x:row>
    <x:row r="6">
      <x:c r="A6" s="43" t="str">
        <x:v>Original</x:v>
      </x:c>
      <x:c r="B6" s="43" t="str">
        <x:v>CAVE</x:v>
      </x:c>
      <x:c r="C6" s="43" t="n">
        <x:v>55</x:v>
      </x:c>
      <x:c r="D6" s="44" t="n">
        <x:v>7</x:v>
      </x:c>
      <x:c r="E6" s="44" t="n">
        <x:v>5</x:v>
      </x:c>
      <x:c r="F6" s="44" t="n">
        <x:v>6</x:v>
      </x:c>
      <x:c r="G6" s="44" t="n">
        <x:v>6</x:v>
      </x:c>
      <x:c r="H6" s="44" t="n">
        <x:v>3</x:v>
      </x:c>
      <x:c r="I6" s="44" t="n">
        <x:v>4</x:v>
      </x:c>
      <x:c r="J6" s="44" t="n">
        <x:v>6</x:v>
      </x:c>
      <x:c r="K6" s="44" t="n">
        <x:v>6</x:v>
      </x:c>
      <x:c r="L6" s="45" t="n">
        <x:v>0</x:v>
      </x:c>
      <x:c r="M6" s="45" t="n">
        <x:v>0</x:v>
      </x:c>
      <x:c r="N6" s="45" t="n">
        <x:v>1</x:v>
      </x:c>
      <x:c r="O6" s="45" t="n">
        <x:v>1</x:v>
      </x:c>
      <x:c r="P6" s="45" t="n">
        <x:v>0</x:v>
      </x:c>
      <x:c r="Q6" s="45" t="n">
        <x:v>0</x:v>
      </x:c>
      <x:c r="R6" s="46" t="n">
        <x:v>7</x:v>
      </x:c>
      <x:c r="S6" s="46" t="n">
        <x:v>7</x:v>
      </x:c>
      <x:c r="T6" s="46" t="n">
        <x:v>6</x:v>
      </x:c>
      <x:c r="U6" s="46" t="n">
        <x:v>6</x:v>
      </x:c>
      <x:c r="V6" s="46" t="n">
        <x:v>3</x:v>
      </x:c>
      <x:c r="W6" s="46" t="n">
        <x:v>6</x:v>
      </x:c>
      <x:c r="X6" s="46" t="n">
        <x:v>7</x:v>
      </x:c>
      <x:c r="Y6" s="47"/>
      <x:c r="Z6" s="47"/>
      <x:c r="AA6" s="47"/>
      <x:c r="AB6" s="47"/>
      <x:c r="AC6" s="47"/>
      <x:c r="AD6" s="47"/>
      <x:c r="AE6" s="47"/>
      <x:c r="AF6" s="47"/>
      <x:c r="AG6" s="47"/>
      <x:c r="AH6" s="47"/>
      <x:c r="AI6" s="48" t="n">
        <x:f>AVERAGE(D6:K6)</x:f>
        <x:v>5.375</x:v>
      </x:c>
      <x:c r="AJ6" s="48" t="n">
        <x:f>SUM(L6:Q6)</x:f>
        <x:v>2</x:v>
      </x:c>
      <x:c r="AK6" s="48" t="n">
        <x:f>AVERAGE(R6:X6)</x:f>
        <x:v>6</x:v>
      </x:c>
      <x:c r="AL6" s="48" t="str">
        <x:f>IF(COUNT(Y6:AH6)=10,((Y6-1)+(5-Z6)+(AA6-1)+(5-AB6)+(AC6-1)+(5-AD6)+(AE6-1)+(5-AF6)+(AG6-1)+(5-AH6))*2.5,"")</x:f>
      </x:c>
    </x:row>
    <x:row r="7">
      <x:c r="A7" s="43" t="str">
        <x:v>Original</x:v>
      </x:c>
      <x:c r="B7" s="43" t="str">
        <x:v>CAVE</x:v>
      </x:c>
      <x:c r="C7" s="43" t="n">
        <x:v>56</x:v>
      </x:c>
      <x:c r="D7" s="44" t="n">
        <x:v>7</x:v>
      </x:c>
      <x:c r="E7" s="44" t="n">
        <x:v>5</x:v>
      </x:c>
      <x:c r="F7" s="44" t="n">
        <x:v>5</x:v>
      </x:c>
      <x:c r="G7" s="44" t="n">
        <x:v>5</x:v>
      </x:c>
      <x:c r="H7" s="44" t="n">
        <x:v>7</x:v>
      </x:c>
      <x:c r="I7" s="44" t="n">
        <x:v>6</x:v>
      </x:c>
      <x:c r="J7" s="44" t="n">
        <x:v>5</x:v>
      </x:c>
      <x:c r="K7" s="44" t="n">
        <x:v>5</x:v>
      </x:c>
      <x:c r="L7" s="45" t="n">
        <x:v>0</x:v>
      </x:c>
      <x:c r="M7" s="45" t="n">
        <x:v>0</x:v>
      </x:c>
      <x:c r="N7" s="45" t="n">
        <x:v>0</x:v>
      </x:c>
      <x:c r="O7" s="45" t="n">
        <x:v>0</x:v>
      </x:c>
      <x:c r="P7" s="45" t="n">
        <x:v>0</x:v>
      </x:c>
      <x:c r="Q7" s="45" t="n">
        <x:v>0</x:v>
      </x:c>
      <x:c r="R7" s="46" t="n">
        <x:v>7</x:v>
      </x:c>
      <x:c r="S7" s="46" t="n">
        <x:v>7</x:v>
      </x:c>
      <x:c r="T7" s="46" t="n">
        <x:v>7</x:v>
      </x:c>
      <x:c r="U7" s="46" t="n">
        <x:v>7</x:v>
      </x:c>
      <x:c r="V7" s="46" t="n">
        <x:v>6</x:v>
      </x:c>
      <x:c r="W7" s="46" t="n">
        <x:v>6</x:v>
      </x:c>
      <x:c r="X7" s="46" t="n">
        <x:v>6</x:v>
      </x:c>
      <x:c r="Y7" s="47"/>
      <x:c r="Z7" s="47"/>
      <x:c r="AA7" s="47"/>
      <x:c r="AB7" s="47"/>
      <x:c r="AC7" s="47"/>
      <x:c r="AD7" s="47"/>
      <x:c r="AE7" s="47"/>
      <x:c r="AF7" s="47"/>
      <x:c r="AG7" s="47"/>
      <x:c r="AH7" s="47"/>
      <x:c r="AI7" s="48" t="n">
        <x:f>AVERAGE(D7:K7)</x:f>
        <x:v>5.625</x:v>
      </x:c>
      <x:c r="AJ7" s="48" t="n">
        <x:f>SUM(L7:Q7)</x:f>
        <x:v>0</x:v>
      </x:c>
      <x:c r="AK7" s="48" t="n">
        <x:f>AVERAGE(R7:X7)</x:f>
        <x:v>6.571428571428571</x:v>
      </x:c>
      <x:c r="AL7" s="48" t="str">
        <x:f>IF(COUNT(Y7:AH7)=10,((Y7-1)+(5-Z7)+(AA7-1)+(5-AB7)+(AC7-1)+(5-AD7)+(AE7-1)+(5-AF7)+(AG7-1)+(5-AH7))*2.5,"")</x:f>
      </x:c>
    </x:row>
    <x:row r="8">
      <x:c r="A8" s="43" t="str">
        <x:v>Original</x:v>
      </x:c>
      <x:c r="B8" s="43" t="str">
        <x:v>CAVE</x:v>
      </x:c>
      <x:c r="C8" s="43" t="n">
        <x:v>57</x:v>
      </x:c>
      <x:c r="D8" s="44" t="n">
        <x:v>7</x:v>
      </x:c>
      <x:c r="E8" s="44" t="n">
        <x:v>7</x:v>
      </x:c>
      <x:c r="F8" s="44" t="n">
        <x:v>7</x:v>
      </x:c>
      <x:c r="G8" s="44" t="n">
        <x:v>6</x:v>
      </x:c>
      <x:c r="H8" s="44" t="n">
        <x:v>6</x:v>
      </x:c>
      <x:c r="I8" s="44" t="n">
        <x:v>7</x:v>
      </x:c>
      <x:c r="J8" s="44" t="n">
        <x:v>7</x:v>
      </x:c>
      <x:c r="K8" s="44" t="n">
        <x:v>6</x:v>
      </x:c>
      <x:c r="L8" s="45" t="n">
        <x:v>0</x:v>
      </x:c>
      <x:c r="M8" s="45" t="n">
        <x:v>0</x:v>
      </x:c>
      <x:c r="N8" s="45" t="n">
        <x:v>0</x:v>
      </x:c>
      <x:c r="O8" s="45" t="n">
        <x:v>0</x:v>
      </x:c>
      <x:c r="P8" s="45" t="n">
        <x:v>0</x:v>
      </x:c>
      <x:c r="Q8" s="45" t="n">
        <x:v>0</x:v>
      </x:c>
      <x:c r="R8" s="46" t="n">
        <x:v>6</x:v>
      </x:c>
      <x:c r="S8" s="46" t="n">
        <x:v>7</x:v>
      </x:c>
      <x:c r="T8" s="46" t="n">
        <x:v>7</x:v>
      </x:c>
      <x:c r="U8" s="46" t="n">
        <x:v>6</x:v>
      </x:c>
      <x:c r="V8" s="46" t="n">
        <x:v>7</x:v>
      </x:c>
      <x:c r="W8" s="46" t="n">
        <x:v>7</x:v>
      </x:c>
      <x:c r="X8" s="46" t="n">
        <x:v>6</x:v>
      </x:c>
      <x:c r="Y8" s="47"/>
      <x:c r="Z8" s="47"/>
      <x:c r="AA8" s="47"/>
      <x:c r="AB8" s="47"/>
      <x:c r="AC8" s="47"/>
      <x:c r="AD8" s="47"/>
      <x:c r="AE8" s="47"/>
      <x:c r="AF8" s="47"/>
      <x:c r="AG8" s="47"/>
      <x:c r="AH8" s="47"/>
      <x:c r="AI8" s="48" t="n">
        <x:f>AVERAGE(D8:K8)</x:f>
        <x:v>6.625</x:v>
      </x:c>
      <x:c r="AJ8" s="48" t="n">
        <x:f>SUM(L8:Q8)</x:f>
        <x:v>0</x:v>
      </x:c>
      <x:c r="AK8" s="48" t="n">
        <x:f>AVERAGE(R8:X8)</x:f>
        <x:v>6.571428571428571</x:v>
      </x:c>
      <x:c r="AL8" s="48" t="str">
        <x:f>IF(COUNT(Y8:AH8)=10,((Y8-1)+(5-Z8)+(AA8-1)+(5-AB8)+(AC8-1)+(5-AD8)+(AE8-1)+(5-AF8)+(AG8-1)+(5-AH8))*2.5,"")</x:f>
      </x:c>
    </x:row>
    <x:row r="9">
      <x:c r="A9" s="43" t="str">
        <x:v>Original</x:v>
      </x:c>
      <x:c r="B9" s="43" t="str">
        <x:v>CAVE</x:v>
      </x:c>
      <x:c r="C9" s="43" t="n">
        <x:v>58</x:v>
      </x:c>
      <x:c r="D9" s="44" t="n">
        <x:v>6</x:v>
      </x:c>
      <x:c r="E9" s="44" t="n">
        <x:v>7</x:v>
      </x:c>
      <x:c r="F9" s="44" t="n">
        <x:v>6</x:v>
      </x:c>
      <x:c r="G9" s="44" t="n">
        <x:v>6</x:v>
      </x:c>
      <x:c r="H9" s="44" t="n">
        <x:v>4</x:v>
      </x:c>
      <x:c r="I9" s="44" t="n">
        <x:v>6</x:v>
      </x:c>
      <x:c r="J9" s="44" t="n">
        <x:v>7</x:v>
      </x:c>
      <x:c r="K9" s="44" t="n">
        <x:v>6</x:v>
      </x:c>
      <x:c r="L9" s="45" t="n">
        <x:v>0</x:v>
      </x:c>
      <x:c r="M9" s="45" t="n">
        <x:v>0</x:v>
      </x:c>
      <x:c r="N9" s="45" t="n">
        <x:v>1</x:v>
      </x:c>
      <x:c r="O9" s="45" t="n">
        <x:v>1</x:v>
      </x:c>
      <x:c r="P9" s="45" t="n">
        <x:v>0</x:v>
      </x:c>
      <x:c r="Q9" s="45" t="n">
        <x:v>0</x:v>
      </x:c>
      <x:c r="R9" s="46" t="n">
        <x:v>6</x:v>
      </x:c>
      <x:c r="S9" s="46" t="n">
        <x:v>6</x:v>
      </x:c>
      <x:c r="T9" s="46" t="n">
        <x:v>7</x:v>
      </x:c>
      <x:c r="U9" s="46" t="n">
        <x:v>7</x:v>
      </x:c>
      <x:c r="V9" s="46" t="n">
        <x:v>6</x:v>
      </x:c>
      <x:c r="W9" s="46" t="n">
        <x:v>6</x:v>
      </x:c>
      <x:c r="X9" s="46" t="n">
        <x:v>6</x:v>
      </x:c>
      <x:c r="Y9" s="47"/>
      <x:c r="Z9" s="47"/>
      <x:c r="AA9" s="47"/>
      <x:c r="AB9" s="47"/>
      <x:c r="AC9" s="47"/>
      <x:c r="AD9" s="47"/>
      <x:c r="AE9" s="47"/>
      <x:c r="AF9" s="47"/>
      <x:c r="AG9" s="47"/>
      <x:c r="AH9" s="47"/>
      <x:c r="AI9" s="48" t="n">
        <x:f>AVERAGE(D9:K9)</x:f>
        <x:v>6</x:v>
      </x:c>
      <x:c r="AJ9" s="48" t="n">
        <x:f>SUM(L9:Q9)</x:f>
        <x:v>2</x:v>
      </x:c>
      <x:c r="AK9" s="48" t="n">
        <x:f>AVERAGE(R9:X9)</x:f>
        <x:v>6.285714285714286</x:v>
      </x:c>
      <x:c r="AL9" s="48" t="str">
        <x:f>IF(COUNT(Y9:AH9)=10,((Y9-1)+(5-Z9)+(AA9-1)+(5-AB9)+(AC9-1)+(5-AD9)+(AE9-1)+(5-AF9)+(AG9-1)+(5-AH9))*2.5,"")</x:f>
      </x:c>
    </x:row>
    <x:row r="10">
      <x:c r="A10" s="43" t="str">
        <x:v>Original</x:v>
      </x:c>
      <x:c r="B10" s="43" t="str">
        <x:v>CAVE</x:v>
      </x:c>
      <x:c r="C10" s="43" t="n">
        <x:v>59</x:v>
      </x:c>
      <x:c r="D10" s="44" t="n">
        <x:v>7</x:v>
      </x:c>
      <x:c r="E10" s="44" t="n">
        <x:v>6</x:v>
      </x:c>
      <x:c r="F10" s="44" t="n">
        <x:v>7</x:v>
      </x:c>
      <x:c r="G10" s="44" t="n">
        <x:v>7</x:v>
      </x:c>
      <x:c r="H10" s="44" t="n">
        <x:v>1</x:v>
      </x:c>
      <x:c r="I10" s="44" t="n">
        <x:v>7</x:v>
      </x:c>
      <x:c r="J10" s="44" t="n">
        <x:v>7</x:v>
      </x:c>
      <x:c r="K10" s="44" t="n">
        <x:v>6</x:v>
      </x:c>
      <x:c r="L10" s="45" t="n">
        <x:v>0</x:v>
      </x:c>
      <x:c r="M10" s="45" t="n">
        <x:v>0</x:v>
      </x:c>
      <x:c r="N10" s="45" t="n">
        <x:v>1</x:v>
      </x:c>
      <x:c r="O10" s="45" t="n">
        <x:v>1</x:v>
      </x:c>
      <x:c r="P10" s="45" t="n">
        <x:v>0</x:v>
      </x:c>
      <x:c r="Q10" s="45" t="n">
        <x:v>0</x:v>
      </x:c>
      <x:c r="R10" s="46" t="n">
        <x:v>7</x:v>
      </x:c>
      <x:c r="S10" s="46" t="n">
        <x:v>7</x:v>
      </x:c>
      <x:c r="T10" s="46" t="n">
        <x:v>7</x:v>
      </x:c>
      <x:c r="U10" s="46" t="n">
        <x:v>6</x:v>
      </x:c>
      <x:c r="V10" s="46" t="n">
        <x:v>7</x:v>
      </x:c>
      <x:c r="W10" s="46" t="n">
        <x:v>6</x:v>
      </x:c>
      <x:c r="X10" s="46" t="n">
        <x:v>7</x:v>
      </x:c>
      <x:c r="Y10" s="47"/>
      <x:c r="Z10" s="47"/>
      <x:c r="AA10" s="47"/>
      <x:c r="AB10" s="47"/>
      <x:c r="AC10" s="47"/>
      <x:c r="AD10" s="47"/>
      <x:c r="AE10" s="47"/>
      <x:c r="AF10" s="47"/>
      <x:c r="AG10" s="47"/>
      <x:c r="AH10" s="47"/>
      <x:c r="AI10" s="48" t="n">
        <x:f>AVERAGE(D10:K10)</x:f>
        <x:v>6</x:v>
      </x:c>
      <x:c r="AJ10" s="48" t="n">
        <x:f>SUM(L10:Q10)</x:f>
        <x:v>2</x:v>
      </x:c>
      <x:c r="AK10" s="48" t="n">
        <x:f>AVERAGE(R10:X10)</x:f>
        <x:v>6.714285714285714</x:v>
      </x:c>
      <x:c r="AL10" s="48" t="str">
        <x:f>IF(COUNT(Y10:AH10)=10,((Y10-1)+(5-Z10)+(AA10-1)+(5-AB10)+(AC10-1)+(5-AD10)+(AE10-1)+(5-AF10)+(AG10-1)+(5-AH10))*2.5,"")</x:f>
      </x:c>
    </x:row>
    <x:row r="11">
      <x:c r="A11" s="43" t="str">
        <x:v>Original</x:v>
      </x:c>
      <x:c r="B11" s="43" t="str">
        <x:v>CAVE</x:v>
      </x:c>
      <x:c r="C11" s="43" t="n">
        <x:v>60</x:v>
      </x:c>
      <x:c r="D11" s="44" t="n">
        <x:v>6</x:v>
      </x:c>
      <x:c r="E11" s="44" t="n">
        <x:v>6</x:v>
      </x:c>
      <x:c r="F11" s="44" t="n">
        <x:v>6</x:v>
      </x:c>
      <x:c r="G11" s="44" t="n">
        <x:v>7</x:v>
      </x:c>
      <x:c r="H11" s="44" t="n">
        <x:v>2</x:v>
      </x:c>
      <x:c r="I11" s="44" t="n">
        <x:v>7</x:v>
      </x:c>
      <x:c r="J11" s="44" t="n">
        <x:v>4</x:v>
      </x:c>
      <x:c r="K11" s="44" t="n">
        <x:v>6</x:v>
      </x:c>
      <x:c r="L11" s="45" t="n">
        <x:v>0</x:v>
      </x:c>
      <x:c r="M11" s="45" t="n">
        <x:v>0</x:v>
      </x:c>
      <x:c r="N11" s="45" t="n">
        <x:v>3</x:v>
      </x:c>
      <x:c r="O11" s="45" t="n">
        <x:v>3</x:v>
      </x:c>
      <x:c r="P11" s="45" t="n">
        <x:v>0</x:v>
      </x:c>
      <x:c r="Q11" s="45" t="n">
        <x:v>0</x:v>
      </x:c>
      <x:c r="R11" s="46" t="n">
        <x:v>7</x:v>
      </x:c>
      <x:c r="S11" s="46" t="n">
        <x:v>7</x:v>
      </x:c>
      <x:c r="T11" s="46" t="n">
        <x:v>6</x:v>
      </x:c>
      <x:c r="U11" s="46" t="n">
        <x:v>5</x:v>
      </x:c>
      <x:c r="V11" s="46" t="n">
        <x:v>5</x:v>
      </x:c>
      <x:c r="W11" s="46" t="n">
        <x:v>6</x:v>
      </x:c>
      <x:c r="X11" s="46" t="n">
        <x:v>6</x:v>
      </x:c>
      <x:c r="Y11" s="47"/>
      <x:c r="Z11" s="47"/>
      <x:c r="AA11" s="47"/>
      <x:c r="AB11" s="47"/>
      <x:c r="AC11" s="47"/>
      <x:c r="AD11" s="47"/>
      <x:c r="AE11" s="47"/>
      <x:c r="AF11" s="47"/>
      <x:c r="AG11" s="47"/>
      <x:c r="AH11" s="47"/>
      <x:c r="AI11" s="48" t="n">
        <x:f>AVERAGE(D11:K11)</x:f>
        <x:v>5.5</x:v>
      </x:c>
      <x:c r="AJ11" s="48" t="n">
        <x:f>SUM(L11:Q11)</x:f>
        <x:v>6</x:v>
      </x:c>
      <x:c r="AK11" s="48" t="n">
        <x:f>AVERAGE(R11:X11)</x:f>
        <x:v>6</x:v>
      </x:c>
      <x:c r="AL11" s="48" t="str">
        <x:f>IF(COUNT(Y11:AH11)=10,((Y11-1)+(5-Z11)+(AA11-1)+(5-AB11)+(AC11-1)+(5-AD11)+(AE11-1)+(5-AF11)+(AG11-1)+(5-AH11))*2.5,"")</x:f>
      </x:c>
    </x:row>
    <x:row r="12">
      <x:c r="A12" s="43" t="str">
        <x:v>Original</x:v>
      </x:c>
      <x:c r="B12" s="43" t="str">
        <x:v>CAVE</x:v>
      </x:c>
      <x:c r="C12" s="43" t="n">
        <x:v>61</x:v>
      </x:c>
      <x:c r="D12" s="44" t="n">
        <x:v>7</x:v>
      </x:c>
      <x:c r="E12" s="44" t="n">
        <x:v>6</x:v>
      </x:c>
      <x:c r="F12" s="44" t="n">
        <x:v>6</x:v>
      </x:c>
      <x:c r="G12" s="44" t="n">
        <x:v>6</x:v>
      </x:c>
      <x:c r="H12" s="44" t="n">
        <x:v>5</x:v>
      </x:c>
      <x:c r="I12" s="44" t="n">
        <x:v>6</x:v>
      </x:c>
      <x:c r="J12" s="44" t="n">
        <x:v>6</x:v>
      </x:c>
      <x:c r="K12" s="44" t="n">
        <x:v>6</x:v>
      </x:c>
      <x:c r="L12" s="45" t="n">
        <x:v>1</x:v>
      </x:c>
      <x:c r="M12" s="45" t="n">
        <x:v>0</x:v>
      </x:c>
      <x:c r="N12" s="45" t="n">
        <x:v>1</x:v>
      </x:c>
      <x:c r="O12" s="45" t="n">
        <x:v>1</x:v>
      </x:c>
      <x:c r="P12" s="45" t="n">
        <x:v>0</x:v>
      </x:c>
      <x:c r="Q12" s="45" t="n">
        <x:v>0</x:v>
      </x:c>
      <x:c r="R12" s="46" t="n">
        <x:v>6</x:v>
      </x:c>
      <x:c r="S12" s="46" t="n">
        <x:v>6</x:v>
      </x:c>
      <x:c r="T12" s="46" t="n">
        <x:v>6</x:v>
      </x:c>
      <x:c r="U12" s="46" t="n">
        <x:v>6</x:v>
      </x:c>
      <x:c r="V12" s="46" t="n">
        <x:v>6</x:v>
      </x:c>
      <x:c r="W12" s="46" t="n">
        <x:v>7</x:v>
      </x:c>
      <x:c r="X12" s="46" t="n">
        <x:v>6</x:v>
      </x:c>
      <x:c r="Y12" s="47"/>
      <x:c r="Z12" s="47"/>
      <x:c r="AA12" s="47"/>
      <x:c r="AB12" s="47"/>
      <x:c r="AC12" s="47"/>
      <x:c r="AD12" s="47"/>
      <x:c r="AE12" s="47"/>
      <x:c r="AF12" s="47"/>
      <x:c r="AG12" s="47"/>
      <x:c r="AH12" s="47"/>
      <x:c r="AI12" s="48" t="n">
        <x:f>AVERAGE(D12:K12)</x:f>
        <x:v>6</x:v>
      </x:c>
      <x:c r="AJ12" s="48" t="n">
        <x:f>SUM(L12:Q12)</x:f>
        <x:v>3</x:v>
      </x:c>
      <x:c r="AK12" s="48" t="n">
        <x:f>AVERAGE(R12:X12)</x:f>
        <x:v>6.142857142857143</x:v>
      </x:c>
      <x:c r="AL12" s="48" t="str">
        <x:f>IF(COUNT(Y12:AH12)=10,((Y12-1)+(5-Z12)+(AA12-1)+(5-AB12)+(AC12-1)+(5-AD12)+(AE12-1)+(5-AF12)+(AG12-1)+(5-AH12))*2.5,"")</x:f>
      </x:c>
    </x:row>
    <x:row r="13">
      <x:c r="A13" s="43" t="str">
        <x:v>Original</x:v>
      </x:c>
      <x:c r="B13" s="43" t="str">
        <x:v>CAVE</x:v>
      </x:c>
      <x:c r="C13" s="43" t="n">
        <x:v>62</x:v>
      </x:c>
      <x:c r="D13" s="44" t="n">
        <x:v>4</x:v>
      </x:c>
      <x:c r="E13" s="44" t="n">
        <x:v>3</x:v>
      </x:c>
      <x:c r="F13" s="44" t="n">
        <x:v>4</x:v>
      </x:c>
      <x:c r="G13" s="44" t="n">
        <x:v>5</x:v>
      </x:c>
      <x:c r="H13" s="44" t="n">
        <x:v>3</x:v>
      </x:c>
      <x:c r="I13" s="44" t="n">
        <x:v>6</x:v>
      </x:c>
      <x:c r="J13" s="44" t="n">
        <x:v>3</x:v>
      </x:c>
      <x:c r="K13" s="44" t="n">
        <x:v>3</x:v>
      </x:c>
      <x:c r="L13" s="45" t="n">
        <x:v>1</x:v>
      </x:c>
      <x:c r="M13" s="45" t="n">
        <x:v>0</x:v>
      </x:c>
      <x:c r="N13" s="45" t="n">
        <x:v>1</x:v>
      </x:c>
      <x:c r="O13" s="45" t="n">
        <x:v>1</x:v>
      </x:c>
      <x:c r="P13" s="45" t="n">
        <x:v>0</x:v>
      </x:c>
      <x:c r="Q13" s="45" t="n">
        <x:v>0</x:v>
      </x:c>
      <x:c r="R13" s="46" t="n">
        <x:v>6</x:v>
      </x:c>
      <x:c r="S13" s="46" t="n">
        <x:v>6</x:v>
      </x:c>
      <x:c r="T13" s="46" t="n">
        <x:v>6</x:v>
      </x:c>
      <x:c r="U13" s="46" t="n">
        <x:v>6</x:v>
      </x:c>
      <x:c r="V13" s="46" t="n">
        <x:v>3</x:v>
      </x:c>
      <x:c r="W13" s="46" t="n">
        <x:v>6</x:v>
      </x:c>
      <x:c r="X13" s="46" t="n">
        <x:v>4</x:v>
      </x:c>
      <x:c r="Y13" s="47"/>
      <x:c r="Z13" s="47"/>
      <x:c r="AA13" s="47"/>
      <x:c r="AB13" s="47"/>
      <x:c r="AC13" s="47"/>
      <x:c r="AD13" s="47"/>
      <x:c r="AE13" s="47"/>
      <x:c r="AF13" s="47"/>
      <x:c r="AG13" s="47"/>
      <x:c r="AH13" s="47"/>
      <x:c r="AI13" s="48" t="n">
        <x:f>AVERAGE(D13:K13)</x:f>
        <x:v>3.875</x:v>
      </x:c>
      <x:c r="AJ13" s="48" t="n">
        <x:f>SUM(L13:Q13)</x:f>
        <x:v>3</x:v>
      </x:c>
      <x:c r="AK13" s="48" t="n">
        <x:f>AVERAGE(R13:X13)</x:f>
        <x:v>5.285714285714286</x:v>
      </x:c>
      <x:c r="AL13" s="48" t="str">
        <x:f>IF(COUNT(Y13:AH13)=10,((Y13-1)+(5-Z13)+(AA13-1)+(5-AB13)+(AC13-1)+(5-AD13)+(AE13-1)+(5-AF13)+(AG13-1)+(5-AH13))*2.5,"")</x:f>
      </x:c>
    </x:row>
    <x:row r="14">
      <x:c r="A14" s="43" t="str">
        <x:v>Original</x:v>
      </x:c>
      <x:c r="B14" s="43" t="str">
        <x:v>CAVE</x:v>
      </x:c>
      <x:c r="C14" s="43" t="n">
        <x:v>63</x:v>
      </x:c>
      <x:c r="D14" s="44" t="n">
        <x:v>6</x:v>
      </x:c>
      <x:c r="E14" s="44" t="n">
        <x:v>6</x:v>
      </x:c>
      <x:c r="F14" s="44" t="n">
        <x:v>6</x:v>
      </x:c>
      <x:c r="G14" s="44" t="n">
        <x:v>6</x:v>
      </x:c>
      <x:c r="H14" s="44" t="n">
        <x:v>3</x:v>
      </x:c>
      <x:c r="I14" s="44" t="n">
        <x:v>6</x:v>
      </x:c>
      <x:c r="J14" s="44" t="n">
        <x:v>6</x:v>
      </x:c>
      <x:c r="K14" s="44" t="n">
        <x:v>5</x:v>
      </x:c>
      <x:c r="L14" s="45" t="n">
        <x:v>3</x:v>
      </x:c>
      <x:c r="M14" s="45" t="n">
        <x:v>1</x:v>
      </x:c>
      <x:c r="N14" s="45" t="n">
        <x:v>3</x:v>
      </x:c>
      <x:c r="O14" s="45" t="n">
        <x:v>4</x:v>
      </x:c>
      <x:c r="P14" s="45" t="n">
        <x:v>0</x:v>
      </x:c>
      <x:c r="Q14" s="45" t="n">
        <x:v>0</x:v>
      </x:c>
      <x:c r="R14" s="46" t="n">
        <x:v>6</x:v>
      </x:c>
      <x:c r="S14" s="46" t="n">
        <x:v>6</x:v>
      </x:c>
      <x:c r="T14" s="46" t="n">
        <x:v>6</x:v>
      </x:c>
      <x:c r="U14" s="46" t="n">
        <x:v>6</x:v>
      </x:c>
      <x:c r="V14" s="46" t="n">
        <x:v>3</x:v>
      </x:c>
      <x:c r="W14" s="46" t="n">
        <x:v>6</x:v>
      </x:c>
      <x:c r="X14" s="46" t="n">
        <x:v>6</x:v>
      </x:c>
      <x:c r="Y14" s="47"/>
      <x:c r="Z14" s="47"/>
      <x:c r="AA14" s="47"/>
      <x:c r="AB14" s="47"/>
      <x:c r="AC14" s="47"/>
      <x:c r="AD14" s="47"/>
      <x:c r="AE14" s="47"/>
      <x:c r="AF14" s="47"/>
      <x:c r="AG14" s="47"/>
      <x:c r="AH14" s="47"/>
      <x:c r="AI14" s="48" t="n">
        <x:f>AVERAGE(D14:K14)</x:f>
        <x:v>5.5</x:v>
      </x:c>
      <x:c r="AJ14" s="48" t="n">
        <x:f>SUM(L14:Q14)</x:f>
        <x:v>11</x:v>
      </x:c>
      <x:c r="AK14" s="48" t="n">
        <x:f>AVERAGE(R14:X14)</x:f>
        <x:v>5.571428571428571</x:v>
      </x:c>
      <x:c r="AL14" s="48" t="str">
        <x:f>IF(COUNT(Y14:AH14)=10,((Y14-1)+(5-Z14)+(AA14-1)+(5-AB14)+(AC14-1)+(5-AD14)+(AE14-1)+(5-AF14)+(AG14-1)+(5-AH14))*2.5,"")</x:f>
      </x:c>
    </x:row>
    <x:row r="15">
      <x:c r="A15" s="43" t="str">
        <x:v>Original</x:v>
      </x:c>
      <x:c r="B15" s="43" t="str">
        <x:v>CAVE</x:v>
      </x:c>
      <x:c r="C15" s="43" t="n">
        <x:v>64</x:v>
      </x:c>
      <x:c r="D15" s="44" t="n">
        <x:v>7</x:v>
      </x:c>
      <x:c r="E15" s="44" t="n">
        <x:v>7</x:v>
      </x:c>
      <x:c r="F15" s="44" t="n">
        <x:v>6</x:v>
      </x:c>
      <x:c r="G15" s="44" t="n">
        <x:v>7</x:v>
      </x:c>
      <x:c r="H15" s="44" t="n">
        <x:v>2</x:v>
      </x:c>
      <x:c r="I15" s="44" t="n">
        <x:v>7</x:v>
      </x:c>
      <x:c r="J15" s="44" t="n">
        <x:v>5</x:v>
      </x:c>
      <x:c r="K15" s="44" t="n">
        <x:v>6</x:v>
      </x:c>
      <x:c r="L15" s="45" t="n">
        <x:v>0</x:v>
      </x:c>
      <x:c r="M15" s="45" t="n">
        <x:v>0</x:v>
      </x:c>
      <x:c r="N15" s="45" t="n">
        <x:v>0</x:v>
      </x:c>
      <x:c r="O15" s="45" t="n">
        <x:v>3</x:v>
      </x:c>
      <x:c r="P15" s="45" t="n">
        <x:v>0</x:v>
      </x:c>
      <x:c r="Q15" s="45" t="n">
        <x:v>0</x:v>
      </x:c>
      <x:c r="R15" s="46" t="n">
        <x:v>7</x:v>
      </x:c>
      <x:c r="S15" s="46" t="n">
        <x:v>7</x:v>
      </x:c>
      <x:c r="T15" s="46" t="n">
        <x:v>6</x:v>
      </x:c>
      <x:c r="U15" s="46" t="n">
        <x:v>6</x:v>
      </x:c>
      <x:c r="V15" s="46" t="n">
        <x:v>7</x:v>
      </x:c>
      <x:c r="W15" s="46" t="n">
        <x:v>6</x:v>
      </x:c>
      <x:c r="X15" s="46" t="n">
        <x:v>6</x:v>
      </x:c>
      <x:c r="Y15" s="47"/>
      <x:c r="Z15" s="47"/>
      <x:c r="AA15" s="47"/>
      <x:c r="AB15" s="47"/>
      <x:c r="AC15" s="47"/>
      <x:c r="AD15" s="47"/>
      <x:c r="AE15" s="47"/>
      <x:c r="AF15" s="47"/>
      <x:c r="AG15" s="47"/>
      <x:c r="AH15" s="47"/>
      <x:c r="AI15" s="48" t="n">
        <x:f>AVERAGE(D15:K15)</x:f>
        <x:v>5.875</x:v>
      </x:c>
      <x:c r="AJ15" s="48" t="n">
        <x:f>SUM(L15:Q15)</x:f>
        <x:v>3</x:v>
      </x:c>
      <x:c r="AK15" s="48" t="n">
        <x:f>AVERAGE(R15:X15)</x:f>
        <x:v>6.428571428571429</x:v>
      </x:c>
      <x:c r="AL15" s="48" t="str">
        <x:f>IF(COUNT(Y15:AH15)=10,((Y15-1)+(5-Z15)+(AA15-1)+(5-AB15)+(AC15-1)+(5-AD15)+(AE15-1)+(5-AF15)+(AG15-1)+(5-AH15))*2.5,"")</x:f>
      </x:c>
    </x:row>
    <x:row r="16">
      <x:c r="A16" s="43" t="str">
        <x:v>Original</x:v>
      </x:c>
      <x:c r="B16" s="43" t="str">
        <x:v>CAVE</x:v>
      </x:c>
      <x:c r="C16" s="43" t="n">
        <x:v>65</x:v>
      </x:c>
      <x:c r="D16" s="44" t="n">
        <x:v>6</x:v>
      </x:c>
      <x:c r="E16" s="44" t="n">
        <x:v>5</x:v>
      </x:c>
      <x:c r="F16" s="44" t="n">
        <x:v>6</x:v>
      </x:c>
      <x:c r="G16" s="44" t="n">
        <x:v>6</x:v>
      </x:c>
      <x:c r="H16" s="44" t="n">
        <x:v>4</x:v>
      </x:c>
      <x:c r="I16" s="44" t="n">
        <x:v>6</x:v>
      </x:c>
      <x:c r="J16" s="44" t="n">
        <x:v>5</x:v>
      </x:c>
      <x:c r="K16" s="44" t="n">
        <x:v>6</x:v>
      </x:c>
      <x:c r="L16" s="45" t="n">
        <x:v>1</x:v>
      </x:c>
      <x:c r="M16" s="45" t="n">
        <x:v>0</x:v>
      </x:c>
      <x:c r="N16" s="45" t="n">
        <x:v>1</x:v>
      </x:c>
      <x:c r="O16" s="45" t="n">
        <x:v>4</x:v>
      </x:c>
      <x:c r="P16" s="45" t="n">
        <x:v>0</x:v>
      </x:c>
      <x:c r="Q16" s="45" t="n">
        <x:v>0</x:v>
      </x:c>
      <x:c r="R16" s="46" t="n">
        <x:v>6</x:v>
      </x:c>
      <x:c r="S16" s="46" t="n">
        <x:v>6</x:v>
      </x:c>
      <x:c r="T16" s="46" t="n">
        <x:v>5</x:v>
      </x:c>
      <x:c r="U16" s="46" t="n">
        <x:v>6</x:v>
      </x:c>
      <x:c r="V16" s="46" t="n">
        <x:v>6</x:v>
      </x:c>
      <x:c r="W16" s="46" t="n">
        <x:v>6</x:v>
      </x:c>
      <x:c r="X16" s="46" t="n">
        <x:v>6</x:v>
      </x:c>
      <x:c r="Y16" s="47"/>
      <x:c r="Z16" s="47"/>
      <x:c r="AA16" s="47"/>
      <x:c r="AB16" s="47"/>
      <x:c r="AC16" s="47"/>
      <x:c r="AD16" s="47"/>
      <x:c r="AE16" s="47"/>
      <x:c r="AF16" s="47"/>
      <x:c r="AG16" s="47"/>
      <x:c r="AH16" s="47"/>
      <x:c r="AI16" s="48" t="n">
        <x:f>AVERAGE(D16:K16)</x:f>
        <x:v>5.5</x:v>
      </x:c>
      <x:c r="AJ16" s="48" t="n">
        <x:f>SUM(L16:Q16)</x:f>
        <x:v>6</x:v>
      </x:c>
      <x:c r="AK16" s="48" t="n">
        <x:f>AVERAGE(R16:X16)</x:f>
        <x:v>5.857142857142857</x:v>
      </x:c>
      <x:c r="AL16" s="48" t="str">
        <x:f>IF(COUNT(Y16:AH16)=10,((Y16-1)+(5-Z16)+(AA16-1)+(5-AB16)+(AC16-1)+(5-AD16)+(AE16-1)+(5-AF16)+(AG16-1)+(5-AH16))*2.5,"")</x:f>
      </x:c>
    </x:row>
    <x:row r="17">
      <x:c r="A17" s="43" t="str">
        <x:v>Original</x:v>
      </x:c>
      <x:c r="B17" s="43" t="str">
        <x:v>CAVE</x:v>
      </x:c>
      <x:c r="C17" s="43" t="n">
        <x:v>66</x:v>
      </x:c>
      <x:c r="D17" s="44" t="n">
        <x:v>6</x:v>
      </x:c>
      <x:c r="E17" s="44" t="n">
        <x:v>6</x:v>
      </x:c>
      <x:c r="F17" s="44" t="n">
        <x:v>7</x:v>
      </x:c>
      <x:c r="G17" s="44" t="n">
        <x:v>6</x:v>
      </x:c>
      <x:c r="H17" s="44" t="n">
        <x:v>4</x:v>
      </x:c>
      <x:c r="I17" s="44" t="n">
        <x:v>6</x:v>
      </x:c>
      <x:c r="J17" s="44" t="n">
        <x:v>6</x:v>
      </x:c>
      <x:c r="K17" s="44" t="n">
        <x:v>6</x:v>
      </x:c>
      <x:c r="L17" s="45" t="n">
        <x:v>1</x:v>
      </x:c>
      <x:c r="M17" s="45" t="n">
        <x:v>0</x:v>
      </x:c>
      <x:c r="N17" s="45" t="n">
        <x:v>1</x:v>
      </x:c>
      <x:c r="O17" s="45" t="n">
        <x:v>0</x:v>
      </x:c>
      <x:c r="P17" s="45" t="n">
        <x:v>0</x:v>
      </x:c>
      <x:c r="Q17" s="45" t="n">
        <x:v>0</x:v>
      </x:c>
      <x:c r="R17" s="46" t="n">
        <x:v>7</x:v>
      </x:c>
      <x:c r="S17" s="46" t="n">
        <x:v>6</x:v>
      </x:c>
      <x:c r="T17" s="46" t="n">
        <x:v>6</x:v>
      </x:c>
      <x:c r="U17" s="46" t="n">
        <x:v>6</x:v>
      </x:c>
      <x:c r="V17" s="46" t="n">
        <x:v>6</x:v>
      </x:c>
      <x:c r="W17" s="46" t="n">
        <x:v>6</x:v>
      </x:c>
      <x:c r="X17" s="46" t="n">
        <x:v>6</x:v>
      </x:c>
      <x:c r="Y17" s="47"/>
      <x:c r="Z17" s="47"/>
      <x:c r="AA17" s="47"/>
      <x:c r="AB17" s="47"/>
      <x:c r="AC17" s="47"/>
      <x:c r="AD17" s="47"/>
      <x:c r="AE17" s="47"/>
      <x:c r="AF17" s="47"/>
      <x:c r="AG17" s="47"/>
      <x:c r="AH17" s="47"/>
      <x:c r="AI17" s="48" t="n">
        <x:f>AVERAGE(D17:K17)</x:f>
        <x:v>5.875</x:v>
      </x:c>
      <x:c r="AJ17" s="48" t="n">
        <x:f>SUM(L17:Q17)</x:f>
        <x:v>2</x:v>
      </x:c>
      <x:c r="AK17" s="48" t="n">
        <x:f>AVERAGE(R17:X17)</x:f>
        <x:v>6.142857142857143</x:v>
      </x:c>
      <x:c r="AL17" s="48" t="str">
        <x:f>IF(COUNT(Y17:AH17)=10,((Y17-1)+(5-Z17)+(AA17-1)+(5-AB17)+(AC17-1)+(5-AD17)+(AE17-1)+(5-AF17)+(AG17-1)+(5-AH17))*2.5,"")</x:f>
      </x:c>
    </x:row>
    <x:row r="18">
      <x:c r="A18" s="43" t="str">
        <x:v>Original</x:v>
      </x:c>
      <x:c r="B18" s="43" t="str">
        <x:v>CAVE</x:v>
      </x:c>
      <x:c r="C18" s="43" t="n">
        <x:v>67</x:v>
      </x:c>
      <x:c r="D18" s="44" t="n">
        <x:v>6</x:v>
      </x:c>
      <x:c r="E18" s="44" t="n">
        <x:v>6</x:v>
      </x:c>
      <x:c r="F18" s="44" t="n">
        <x:v>6</x:v>
      </x:c>
      <x:c r="G18" s="44" t="n">
        <x:v>6</x:v>
      </x:c>
      <x:c r="H18" s="44" t="n">
        <x:v>6</x:v>
      </x:c>
      <x:c r="I18" s="44" t="n">
        <x:v>7</x:v>
      </x:c>
      <x:c r="J18" s="44" t="n">
        <x:v>7</x:v>
      </x:c>
      <x:c r="K18" s="44" t="n">
        <x:v>6</x:v>
      </x:c>
      <x:c r="L18" s="45" t="n">
        <x:v>0</x:v>
      </x:c>
      <x:c r="M18" s="45" t="n">
        <x:v>0</x:v>
      </x:c>
      <x:c r="N18" s="45" t="n">
        <x:v>0</x:v>
      </x:c>
      <x:c r="O18" s="45" t="n">
        <x:v>0</x:v>
      </x:c>
      <x:c r="P18" s="45" t="n">
        <x:v>0</x:v>
      </x:c>
      <x:c r="Q18" s="45" t="n">
        <x:v>0</x:v>
      </x:c>
      <x:c r="R18" s="46" t="n">
        <x:v>6</x:v>
      </x:c>
      <x:c r="S18" s="46" t="n">
        <x:v>6</x:v>
      </x:c>
      <x:c r="T18" s="46" t="n">
        <x:v>6</x:v>
      </x:c>
      <x:c r="U18" s="46" t="n">
        <x:v>5</x:v>
      </x:c>
      <x:c r="V18" s="46" t="n">
        <x:v>2</x:v>
      </x:c>
      <x:c r="W18" s="46" t="n">
        <x:v>6</x:v>
      </x:c>
      <x:c r="X18" s="46" t="n">
        <x:v>6</x:v>
      </x:c>
      <x:c r="Y18" s="47"/>
      <x:c r="Z18" s="47"/>
      <x:c r="AA18" s="47"/>
      <x:c r="AB18" s="47"/>
      <x:c r="AC18" s="47"/>
      <x:c r="AD18" s="47"/>
      <x:c r="AE18" s="47"/>
      <x:c r="AF18" s="47"/>
      <x:c r="AG18" s="47"/>
      <x:c r="AH18" s="47"/>
      <x:c r="AI18" s="48" t="n">
        <x:f>AVERAGE(D18:K18)</x:f>
        <x:v>6.25</x:v>
      </x:c>
      <x:c r="AJ18" s="48" t="n">
        <x:f>SUM(L18:Q18)</x:f>
        <x:v>0</x:v>
      </x:c>
      <x:c r="AK18" s="48" t="n">
        <x:f>AVERAGE(R18:X18)</x:f>
        <x:v>5.285714285714286</x:v>
      </x:c>
      <x:c r="AL18" s="48" t="str">
        <x:f>IF(COUNT(Y18:AH18)=10,((Y18-1)+(5-Z18)+(AA18-1)+(5-AB18)+(AC18-1)+(5-AD18)+(AE18-1)+(5-AF18)+(AG18-1)+(5-AH18))*2.5,"")</x:f>
      </x:c>
    </x:row>
    <x:row r="19">
      <x:c r="A19" s="43" t="str">
        <x:v>Original</x:v>
      </x:c>
      <x:c r="B19" s="43" t="str">
        <x:v>CAVE</x:v>
      </x:c>
      <x:c r="C19" s="43" t="n">
        <x:v>68</x:v>
      </x:c>
      <x:c r="D19" s="44" t="n">
        <x:v>6</x:v>
      </x:c>
      <x:c r="E19" s="44" t="n">
        <x:v>6</x:v>
      </x:c>
      <x:c r="F19" s="44" t="n">
        <x:v>6</x:v>
      </x:c>
      <x:c r="G19" s="44" t="n">
        <x:v>6</x:v>
      </x:c>
      <x:c r="H19" s="44" t="n">
        <x:v>2</x:v>
      </x:c>
      <x:c r="I19" s="44" t="n">
        <x:v>6</x:v>
      </x:c>
      <x:c r="J19" s="44" t="n">
        <x:v>5</x:v>
      </x:c>
      <x:c r="K19" s="44" t="n">
        <x:v>6</x:v>
      </x:c>
      <x:c r="L19" s="45" t="n">
        <x:v>1</x:v>
      </x:c>
      <x:c r="M19" s="45" t="n">
        <x:v>3</x:v>
      </x:c>
      <x:c r="N19" s="45" t="n">
        <x:v>1</x:v>
      </x:c>
      <x:c r="O19" s="45" t="n">
        <x:v>1</x:v>
      </x:c>
      <x:c r="P19" s="45" t="n">
        <x:v>0</x:v>
      </x:c>
      <x:c r="Q19" s="45" t="n">
        <x:v>0</x:v>
      </x:c>
      <x:c r="R19" s="46" t="n">
        <x:v>6</x:v>
      </x:c>
      <x:c r="S19" s="46" t="n">
        <x:v>6</x:v>
      </x:c>
      <x:c r="T19" s="46" t="n">
        <x:v>6</x:v>
      </x:c>
      <x:c r="U19" s="46" t="n">
        <x:v>6</x:v>
      </x:c>
      <x:c r="V19" s="46" t="n">
        <x:v>5</x:v>
      </x:c>
      <x:c r="W19" s="46" t="n">
        <x:v>6</x:v>
      </x:c>
      <x:c r="X19" s="46" t="n">
        <x:v>5</x:v>
      </x:c>
      <x:c r="Y19" s="47"/>
      <x:c r="Z19" s="47"/>
      <x:c r="AA19" s="47"/>
      <x:c r="AB19" s="47"/>
      <x:c r="AC19" s="47"/>
      <x:c r="AD19" s="47"/>
      <x:c r="AE19" s="47"/>
      <x:c r="AF19" s="47"/>
      <x:c r="AG19" s="47"/>
      <x:c r="AH19" s="47"/>
      <x:c r="AI19" s="48" t="n">
        <x:f>AVERAGE(D19:K19)</x:f>
        <x:v>5.375</x:v>
      </x:c>
      <x:c r="AJ19" s="48" t="n">
        <x:f>SUM(L19:Q19)</x:f>
        <x:v>6</x:v>
      </x:c>
      <x:c r="AK19" s="48" t="n">
        <x:f>AVERAGE(R19:X19)</x:f>
        <x:v>5.714285714285714</x:v>
      </x:c>
      <x:c r="AL19" s="48" t="str">
        <x:f>IF(COUNT(Y19:AH19)=10,((Y19-1)+(5-Z19)+(AA19-1)+(5-AB19)+(AC19-1)+(5-AD19)+(AE19-1)+(5-AF19)+(AG19-1)+(5-AH19))*2.5,"")</x:f>
      </x:c>
    </x:row>
    <x:row r="20">
      <x:c r="A20" s="43" t="str">
        <x:v>Original</x:v>
      </x:c>
      <x:c r="B20" s="43" t="str">
        <x:v>CAVE</x:v>
      </x:c>
      <x:c r="C20" s="43" t="n">
        <x:v>69</x:v>
      </x:c>
      <x:c r="D20" s="44" t="n">
        <x:v>3</x:v>
      </x:c>
      <x:c r="E20" s="44" t="n">
        <x:v>4</x:v>
      </x:c>
      <x:c r="F20" s="44" t="n">
        <x:v>5</x:v>
      </x:c>
      <x:c r="G20" s="44" t="n">
        <x:v>4</x:v>
      </x:c>
      <x:c r="H20" s="44" t="n">
        <x:v>4</x:v>
      </x:c>
      <x:c r="I20" s="44" t="n">
        <x:v>5</x:v>
      </x:c>
      <x:c r="J20" s="44" t="n">
        <x:v>4</x:v>
      </x:c>
      <x:c r="K20" s="44" t="n">
        <x:v>5</x:v>
      </x:c>
      <x:c r="L20" s="45" t="n">
        <x:v>1</x:v>
      </x:c>
      <x:c r="M20" s="45" t="n">
        <x:v>0</x:v>
      </x:c>
      <x:c r="N20" s="45" t="n">
        <x:v>1</x:v>
      </x:c>
      <x:c r="O20" s="45" t="n">
        <x:v>0</x:v>
      </x:c>
      <x:c r="P20" s="45" t="n">
        <x:v>0</x:v>
      </x:c>
      <x:c r="Q20" s="45" t="n">
        <x:v>0</x:v>
      </x:c>
      <x:c r="R20" s="46" t="n">
        <x:v>5</x:v>
      </x:c>
      <x:c r="S20" s="46" t="n">
        <x:v>6</x:v>
      </x:c>
      <x:c r="T20" s="46" t="n">
        <x:v>5</x:v>
      </x:c>
      <x:c r="U20" s="46" t="n">
        <x:v>5</x:v>
      </x:c>
      <x:c r="V20" s="46" t="n">
        <x:v>3</x:v>
      </x:c>
      <x:c r="W20" s="46" t="n">
        <x:v>6</x:v>
      </x:c>
      <x:c r="X20" s="46" t="n">
        <x:v>4</x:v>
      </x:c>
      <x:c r="Y20" s="47"/>
      <x:c r="Z20" s="47"/>
      <x:c r="AA20" s="47"/>
      <x:c r="AB20" s="47"/>
      <x:c r="AC20" s="47"/>
      <x:c r="AD20" s="47"/>
      <x:c r="AE20" s="47"/>
      <x:c r="AF20" s="47"/>
      <x:c r="AG20" s="47"/>
      <x:c r="AH20" s="47"/>
      <x:c r="AI20" s="48" t="n">
        <x:f>AVERAGE(D20:K20)</x:f>
        <x:v>4.25</x:v>
      </x:c>
      <x:c r="AJ20" s="48" t="n">
        <x:f>SUM(L20:Q20)</x:f>
        <x:v>2</x:v>
      </x:c>
      <x:c r="AK20" s="48" t="n">
        <x:f>AVERAGE(R20:X20)</x:f>
        <x:v>4.857142857142857</x:v>
      </x:c>
      <x:c r="AL20" s="48" t="str">
        <x:f>IF(COUNT(Y20:AH20)=10,((Y20-1)+(5-Z20)+(AA20-1)+(5-AB20)+(AC20-1)+(5-AD20)+(AE20-1)+(5-AF20)+(AG20-1)+(5-AH20))*2.5,"")</x:f>
      </x:c>
    </x:row>
    <x:row r="21">
      <x:c r="A21" s="43" t="str">
        <x:v>Original</x:v>
      </x:c>
      <x:c r="B21" s="43" t="str">
        <x:v>CAVE</x:v>
      </x:c>
      <x:c r="C21" s="43" t="n">
        <x:v>70</x:v>
      </x:c>
      <x:c r="D21" s="44" t="n">
        <x:v>6</x:v>
      </x:c>
      <x:c r="E21" s="44" t="n">
        <x:v>6</x:v>
      </x:c>
      <x:c r="F21" s="44" t="n">
        <x:v>6</x:v>
      </x:c>
      <x:c r="G21" s="44" t="n">
        <x:v>7</x:v>
      </x:c>
      <x:c r="H21" s="44" t="n">
        <x:v>6</x:v>
      </x:c>
      <x:c r="I21" s="44" t="n">
        <x:v>7</x:v>
      </x:c>
      <x:c r="J21" s="44" t="n">
        <x:v>6</x:v>
      </x:c>
      <x:c r="K21" s="44" t="n">
        <x:v>6</x:v>
      </x:c>
      <x:c r="L21" s="45" t="n">
        <x:v>0</x:v>
      </x:c>
      <x:c r="M21" s="45" t="n">
        <x:v>0</x:v>
      </x:c>
      <x:c r="N21" s="45" t="n">
        <x:v>0</x:v>
      </x:c>
      <x:c r="O21" s="45" t="n">
        <x:v>1</x:v>
      </x:c>
      <x:c r="P21" s="45" t="n">
        <x:v>0</x:v>
      </x:c>
      <x:c r="Q21" s="45" t="n">
        <x:v>0</x:v>
      </x:c>
      <x:c r="R21" s="46" t="n">
        <x:v>7</x:v>
      </x:c>
      <x:c r="S21" s="46" t="n">
        <x:v>7</x:v>
      </x:c>
      <x:c r="T21" s="46" t="n">
        <x:v>7</x:v>
      </x:c>
      <x:c r="U21" s="46" t="n">
        <x:v>6</x:v>
      </x:c>
      <x:c r="V21" s="46" t="n">
        <x:v>6</x:v>
      </x:c>
      <x:c r="W21" s="46" t="n">
        <x:v>6</x:v>
      </x:c>
      <x:c r="X21" s="46" t="n">
        <x:v>6</x:v>
      </x:c>
      <x:c r="Y21" s="47"/>
      <x:c r="Z21" s="47"/>
      <x:c r="AA21" s="47"/>
      <x:c r="AB21" s="47"/>
      <x:c r="AC21" s="47"/>
      <x:c r="AD21" s="47"/>
      <x:c r="AE21" s="47"/>
      <x:c r="AF21" s="47"/>
      <x:c r="AG21" s="47"/>
      <x:c r="AH21" s="47"/>
      <x:c r="AI21" s="48" t="n">
        <x:f>AVERAGE(D21:K21)</x:f>
        <x:v>6.25</x:v>
      </x:c>
      <x:c r="AJ21" s="48" t="n">
        <x:f>SUM(L21:Q21)</x:f>
        <x:v>1</x:v>
      </x:c>
      <x:c r="AK21" s="48" t="n">
        <x:f>AVERAGE(R21:X21)</x:f>
        <x:v>6.428571428571429</x:v>
      </x:c>
      <x:c r="AL21" s="48" t="str">
        <x:f>IF(COUNT(Y21:AH21)=10,((Y21-1)+(5-Z21)+(AA21-1)+(5-AB21)+(AC21-1)+(5-AD21)+(AE21-1)+(5-AF21)+(AG21-1)+(5-AH21))*2.5,"")</x:f>
      </x:c>
    </x:row>
    <x:row r="22">
      <x:c r="A22" s="43" t="str">
        <x:v>Original</x:v>
      </x:c>
      <x:c r="B22" s="43" t="str">
        <x:v>CAVE</x:v>
      </x:c>
      <x:c r="C22" s="43" t="n">
        <x:v>71</x:v>
      </x:c>
      <x:c r="D22" s="44" t="n">
        <x:v>6</x:v>
      </x:c>
      <x:c r="E22" s="44" t="n">
        <x:v>6</x:v>
      </x:c>
      <x:c r="F22" s="44" t="n">
        <x:v>7</x:v>
      </x:c>
      <x:c r="G22" s="44" t="n">
        <x:v>6</x:v>
      </x:c>
      <x:c r="H22" s="44" t="n">
        <x:v>7</x:v>
      </x:c>
      <x:c r="I22" s="44" t="n">
        <x:v>6</x:v>
      </x:c>
      <x:c r="J22" s="44" t="n">
        <x:v>6</x:v>
      </x:c>
      <x:c r="K22" s="44" t="n">
        <x:v>6</x:v>
      </x:c>
      <x:c r="L22" s="45" t="n">
        <x:v>1</x:v>
      </x:c>
      <x:c r="M22" s="45" t="n">
        <x:v>0</x:v>
      </x:c>
      <x:c r="N22" s="45" t="n">
        <x:v>0</x:v>
      </x:c>
      <x:c r="O22" s="45" t="n">
        <x:v>1</x:v>
      </x:c>
      <x:c r="P22" s="45" t="n">
        <x:v>1</x:v>
      </x:c>
      <x:c r="Q22" s="45" t="n">
        <x:v>0</x:v>
      </x:c>
      <x:c r="R22" s="46" t="n">
        <x:v>6</x:v>
      </x:c>
      <x:c r="S22" s="46" t="n">
        <x:v>6</x:v>
      </x:c>
      <x:c r="T22" s="46" t="n">
        <x:v>7</x:v>
      </x:c>
      <x:c r="U22" s="46" t="n">
        <x:v>6</x:v>
      </x:c>
      <x:c r="V22" s="46" t="n">
        <x:v>6</x:v>
      </x:c>
      <x:c r="W22" s="46" t="n">
        <x:v>6</x:v>
      </x:c>
      <x:c r="X22" s="46" t="n">
        <x:v>6</x:v>
      </x:c>
      <x:c r="Y22" s="47"/>
      <x:c r="Z22" s="47"/>
      <x:c r="AA22" s="47"/>
      <x:c r="AB22" s="47"/>
      <x:c r="AC22" s="47"/>
      <x:c r="AD22" s="47"/>
      <x:c r="AE22" s="47"/>
      <x:c r="AF22" s="47"/>
      <x:c r="AG22" s="47"/>
      <x:c r="AH22" s="47"/>
      <x:c r="AI22" s="48" t="n">
        <x:f>AVERAGE(D22:K22)</x:f>
        <x:v>6.25</x:v>
      </x:c>
      <x:c r="AJ22" s="48" t="n">
        <x:f>SUM(L22:Q22)</x:f>
        <x:v>3</x:v>
      </x:c>
      <x:c r="AK22" s="48" t="n">
        <x:f>AVERAGE(R22:X22)</x:f>
        <x:v>6.142857142857143</x:v>
      </x:c>
      <x:c r="AL22" s="48" t="str">
        <x:f>IF(COUNT(Y22:AH22)=10,((Y22-1)+(5-Z22)+(AA22-1)+(5-AB22)+(AC22-1)+(5-AD22)+(AE22-1)+(5-AF22)+(AG22-1)+(5-AH22))*2.5,"")</x:f>
      </x:c>
    </x:row>
    <x:row r="23">
      <x:c r="A23" s="43" t="str">
        <x:v>Original</x:v>
      </x:c>
      <x:c r="B23" s="43" t="str">
        <x:v>CAVE</x:v>
      </x:c>
      <x:c r="C23" s="43" t="n">
        <x:v>72</x:v>
      </x:c>
      <x:c r="D23" s="44" t="n">
        <x:v>6</x:v>
      </x:c>
      <x:c r="E23" s="44" t="n">
        <x:v>5</x:v>
      </x:c>
      <x:c r="F23" s="44" t="n">
        <x:v>5</x:v>
      </x:c>
      <x:c r="G23" s="44" t="n">
        <x:v>5</x:v>
      </x:c>
      <x:c r="H23" s="44" t="n">
        <x:v>6</x:v>
      </x:c>
      <x:c r="I23" s="44" t="n">
        <x:v>7</x:v>
      </x:c>
      <x:c r="J23" s="44" t="n">
        <x:v>7</x:v>
      </x:c>
      <x:c r="K23" s="44" t="n">
        <x:v>5</x:v>
      </x:c>
      <x:c r="L23" s="45" t="n">
        <x:v>1</x:v>
      </x:c>
      <x:c r="M23" s="45" t="n">
        <x:v>1</x:v>
      </x:c>
      <x:c r="N23" s="45" t="n">
        <x:v>1</x:v>
      </x:c>
      <x:c r="O23" s="45" t="n">
        <x:v>0</x:v>
      </x:c>
      <x:c r="P23" s="45" t="n">
        <x:v>1</x:v>
      </x:c>
      <x:c r="Q23" s="45" t="n">
        <x:v>0</x:v>
      </x:c>
      <x:c r="R23" s="46" t="n">
        <x:v>6</x:v>
      </x:c>
      <x:c r="S23" s="46" t="n">
        <x:v>7</x:v>
      </x:c>
      <x:c r="T23" s="46" t="n">
        <x:v>7</x:v>
      </x:c>
      <x:c r="U23" s="46" t="n">
        <x:v>5</x:v>
      </x:c>
      <x:c r="V23" s="46" t="n">
        <x:v>6</x:v>
      </x:c>
      <x:c r="W23" s="46" t="n">
        <x:v>6</x:v>
      </x:c>
      <x:c r="X23" s="46" t="n">
        <x:v>6</x:v>
      </x:c>
      <x:c r="Y23" s="47"/>
      <x:c r="Z23" s="47"/>
      <x:c r="AA23" s="47"/>
      <x:c r="AB23" s="47"/>
      <x:c r="AC23" s="47"/>
      <x:c r="AD23" s="47"/>
      <x:c r="AE23" s="47"/>
      <x:c r="AF23" s="47"/>
      <x:c r="AG23" s="47"/>
      <x:c r="AH23" s="47"/>
      <x:c r="AI23" s="48" t="n">
        <x:f>AVERAGE(D23:K23)</x:f>
        <x:v>5.75</x:v>
      </x:c>
      <x:c r="AJ23" s="48" t="n">
        <x:f>SUM(L23:Q23)</x:f>
        <x:v>4</x:v>
      </x:c>
      <x:c r="AK23" s="48" t="n">
        <x:f>AVERAGE(R23:X23)</x:f>
        <x:v>6.142857142857143</x:v>
      </x:c>
      <x:c r="AL23" s="48" t="str">
        <x:f>IF(COUNT(Y23:AH23)=10,((Y23-1)+(5-Z23)+(AA23-1)+(5-AB23)+(AC23-1)+(5-AD23)+(AE23-1)+(5-AF23)+(AG23-1)+(5-AH23))*2.5,"")</x:f>
      </x:c>
    </x:row>
    <x:row r="24">
      <x:c r="A24" s="43" t="str">
        <x:v>Original</x:v>
      </x:c>
      <x:c r="B24" s="43" t="str">
        <x:v>CAVE</x:v>
      </x:c>
      <x:c r="C24" s="43" t="n">
        <x:v>73</x:v>
      </x:c>
      <x:c r="D24" s="44" t="n">
        <x:v>6</x:v>
      </x:c>
      <x:c r="E24" s="44" t="n">
        <x:v>5</x:v>
      </x:c>
      <x:c r="F24" s="44" t="n">
        <x:v>6</x:v>
      </x:c>
      <x:c r="G24" s="44" t="n">
        <x:v>5</x:v>
      </x:c>
      <x:c r="H24" s="44" t="n">
        <x:v>6</x:v>
      </x:c>
      <x:c r="I24" s="44" t="n">
        <x:v>6</x:v>
      </x:c>
      <x:c r="J24" s="44" t="n">
        <x:v>3</x:v>
      </x:c>
      <x:c r="K24" s="44" t="n">
        <x:v>5</x:v>
      </x:c>
      <x:c r="L24" s="45" t="n">
        <x:v>0</x:v>
      </x:c>
      <x:c r="M24" s="45" t="n">
        <x:v>0</x:v>
      </x:c>
      <x:c r="N24" s="45" t="n">
        <x:v>1</x:v>
      </x:c>
      <x:c r="O24" s="45" t="n">
        <x:v>1</x:v>
      </x:c>
      <x:c r="P24" s="45" t="n">
        <x:v>1</x:v>
      </x:c>
      <x:c r="Q24" s="45" t="n">
        <x:v>0</x:v>
      </x:c>
      <x:c r="R24" s="46" t="n">
        <x:v>7</x:v>
      </x:c>
      <x:c r="S24" s="46" t="n">
        <x:v>7</x:v>
      </x:c>
      <x:c r="T24" s="46" t="n">
        <x:v>6</x:v>
      </x:c>
      <x:c r="U24" s="46" t="n">
        <x:v>3</x:v>
      </x:c>
      <x:c r="V24" s="46" t="n">
        <x:v>3</x:v>
      </x:c>
      <x:c r="W24" s="46" t="n">
        <x:v>6</x:v>
      </x:c>
      <x:c r="X24" s="46" t="n">
        <x:v>6</x:v>
      </x:c>
      <x:c r="Y24" s="47"/>
      <x:c r="Z24" s="47"/>
      <x:c r="AA24" s="47"/>
      <x:c r="AB24" s="47"/>
      <x:c r="AC24" s="47"/>
      <x:c r="AD24" s="47"/>
      <x:c r="AE24" s="47"/>
      <x:c r="AF24" s="47"/>
      <x:c r="AG24" s="47"/>
      <x:c r="AH24" s="47"/>
      <x:c r="AI24" s="48" t="n">
        <x:f>AVERAGE(D24:K24)</x:f>
        <x:v>5.25</x:v>
      </x:c>
      <x:c r="AJ24" s="48" t="n">
        <x:f>SUM(L24:Q24)</x:f>
        <x:v>3</x:v>
      </x:c>
      <x:c r="AK24" s="48" t="n">
        <x:f>AVERAGE(R24:X24)</x:f>
        <x:v>5.428571428571429</x:v>
      </x:c>
      <x:c r="AL24" s="48" t="str">
        <x:f>IF(COUNT(Y24:AH24)=10,((Y24-1)+(5-Z24)+(AA24-1)+(5-AB24)+(AC24-1)+(5-AD24)+(AE24-1)+(5-AF24)+(AG24-1)+(5-AH24))*2.5,"")</x:f>
      </x:c>
    </x:row>
    <x:row r="25">
      <x:c r="A25" s="43" t="str">
        <x:v>Original</x:v>
      </x:c>
      <x:c r="B25" s="43" t="str">
        <x:v>CAVE</x:v>
      </x:c>
      <x:c r="C25" s="43" t="n">
        <x:v>74</x:v>
      </x:c>
      <x:c r="D25" s="44" t="n">
        <x:v>6</x:v>
      </x:c>
      <x:c r="E25" s="44" t="n">
        <x:v>6</x:v>
      </x:c>
      <x:c r="F25" s="44" t="n">
        <x:v>6</x:v>
      </x:c>
      <x:c r="G25" s="44" t="n">
        <x:v>5</x:v>
      </x:c>
      <x:c r="H25" s="44" t="n">
        <x:v>6</x:v>
      </x:c>
      <x:c r="I25" s="44" t="n">
        <x:v>6</x:v>
      </x:c>
      <x:c r="J25" s="44" t="n">
        <x:v>6</x:v>
      </x:c>
      <x:c r="K25" s="44" t="n">
        <x:v>6</x:v>
      </x:c>
      <x:c r="L25" s="45" t="n">
        <x:v>1</x:v>
      </x:c>
      <x:c r="M25" s="45" t="n">
        <x:v>1</x:v>
      </x:c>
      <x:c r="N25" s="45" t="n">
        <x:v>3</x:v>
      </x:c>
      <x:c r="O25" s="45" t="n">
        <x:v>1</x:v>
      </x:c>
      <x:c r="P25" s="45" t="n">
        <x:v>0</x:v>
      </x:c>
      <x:c r="Q25" s="45" t="n">
        <x:v>0</x:v>
      </x:c>
      <x:c r="R25" s="46" t="n">
        <x:v>6</x:v>
      </x:c>
      <x:c r="S25" s="46" t="n">
        <x:v>7</x:v>
      </x:c>
      <x:c r="T25" s="46" t="n">
        <x:v>6</x:v>
      </x:c>
      <x:c r="U25" s="46" t="n">
        <x:v>6</x:v>
      </x:c>
      <x:c r="V25" s="46" t="n">
        <x:v>3</x:v>
      </x:c>
      <x:c r="W25" s="46" t="n">
        <x:v>6</x:v>
      </x:c>
      <x:c r="X25" s="46" t="n">
        <x:v>5</x:v>
      </x:c>
      <x:c r="Y25" s="47"/>
      <x:c r="Z25" s="47"/>
      <x:c r="AA25" s="47"/>
      <x:c r="AB25" s="47"/>
      <x:c r="AC25" s="47"/>
      <x:c r="AD25" s="47"/>
      <x:c r="AE25" s="47"/>
      <x:c r="AF25" s="47"/>
      <x:c r="AG25" s="47"/>
      <x:c r="AH25" s="47"/>
      <x:c r="AI25" s="48" t="n">
        <x:f>AVERAGE(D25:K25)</x:f>
        <x:v>5.875</x:v>
      </x:c>
      <x:c r="AJ25" s="48" t="n">
        <x:f>SUM(L25:Q25)</x:f>
        <x:v>6</x:v>
      </x:c>
      <x:c r="AK25" s="48" t="n">
        <x:f>AVERAGE(R25:X25)</x:f>
        <x:v>5.571428571428571</x:v>
      </x:c>
      <x:c r="AL25" s="48" t="str">
        <x:f>IF(COUNT(Y25:AH25)=10,((Y25-1)+(5-Z25)+(AA25-1)+(5-AB25)+(AC25-1)+(5-AD25)+(AE25-1)+(5-AF25)+(AG25-1)+(5-AH25))*2.5,"")</x:f>
      </x:c>
    </x:row>
    <x:row r="26">
      <x:c r="A26" s="43" t="str">
        <x:v>Original</x:v>
      </x:c>
      <x:c r="B26" s="43" t="str">
        <x:v>CAVE</x:v>
      </x:c>
      <x:c r="C26" s="43" t="n">
        <x:v>75</x:v>
      </x:c>
      <x:c r="D26" s="44" t="n">
        <x:v>6</x:v>
      </x:c>
      <x:c r="E26" s="44" t="n">
        <x:v>5</x:v>
      </x:c>
      <x:c r="F26" s="44" t="n">
        <x:v>6</x:v>
      </x:c>
      <x:c r="G26" s="44" t="n">
        <x:v>5</x:v>
      </x:c>
      <x:c r="H26" s="44" t="n">
        <x:v>3</x:v>
      </x:c>
      <x:c r="I26" s="44" t="n">
        <x:v>6</x:v>
      </x:c>
      <x:c r="J26" s="44" t="n">
        <x:v>4</x:v>
      </x:c>
      <x:c r="K26" s="44" t="n">
        <x:v>4</x:v>
      </x:c>
      <x:c r="L26" s="45" t="n">
        <x:v>0</x:v>
      </x:c>
      <x:c r="M26" s="45" t="n">
        <x:v>0</x:v>
      </x:c>
      <x:c r="N26" s="45" t="n">
        <x:v>1</x:v>
      </x:c>
      <x:c r="O26" s="45" t="n">
        <x:v>0</x:v>
      </x:c>
      <x:c r="P26" s="45" t="n">
        <x:v>0</x:v>
      </x:c>
      <x:c r="Q26" s="45" t="n">
        <x:v>0</x:v>
      </x:c>
      <x:c r="R26" s="46" t="n">
        <x:v>7</x:v>
      </x:c>
      <x:c r="S26" s="46" t="n">
        <x:v>7</x:v>
      </x:c>
      <x:c r="T26" s="46" t="n">
        <x:v>7</x:v>
      </x:c>
      <x:c r="U26" s="46" t="n">
        <x:v>6</x:v>
      </x:c>
      <x:c r="V26" s="46" t="n">
        <x:v>5</x:v>
      </x:c>
      <x:c r="W26" s="46" t="n">
        <x:v>6</x:v>
      </x:c>
      <x:c r="X26" s="46" t="n">
        <x:v>7</x:v>
      </x:c>
      <x:c r="Y26" s="47"/>
      <x:c r="Z26" s="47"/>
      <x:c r="AA26" s="47"/>
      <x:c r="AB26" s="47"/>
      <x:c r="AC26" s="47"/>
      <x:c r="AD26" s="47"/>
      <x:c r="AE26" s="47"/>
      <x:c r="AF26" s="47"/>
      <x:c r="AG26" s="47"/>
      <x:c r="AH26" s="47"/>
      <x:c r="AI26" s="48" t="n">
        <x:f>AVERAGE(D26:K26)</x:f>
        <x:v>4.875</x:v>
      </x:c>
      <x:c r="AJ26" s="48" t="n">
        <x:f>SUM(L26:Q26)</x:f>
        <x:v>1</x:v>
      </x:c>
      <x:c r="AK26" s="48" t="n">
        <x:f>AVERAGE(R26:X26)</x:f>
        <x:v>6.428571428571429</x:v>
      </x:c>
      <x:c r="AL26" s="48" t="str">
        <x:f>IF(COUNT(Y26:AH26)=10,((Y26-1)+(5-Z26)+(AA26-1)+(5-AB26)+(AC26-1)+(5-AD26)+(AE26-1)+(5-AF26)+(AG26-1)+(5-AH26))*2.5,"")</x:f>
      </x:c>
    </x:row>
    <x:row r="27">
      <x:c r="A27" s="43" t="str">
        <x:v>Original</x:v>
      </x:c>
      <x:c r="B27" s="43" t="str">
        <x:v>CAVE</x:v>
      </x:c>
      <x:c r="C27" s="43" t="n">
        <x:v>76</x:v>
      </x:c>
      <x:c r="D27" s="44" t="n">
        <x:v>7</x:v>
      </x:c>
      <x:c r="E27" s="44" t="n">
        <x:v>5</x:v>
      </x:c>
      <x:c r="F27" s="44" t="n">
        <x:v>5</x:v>
      </x:c>
      <x:c r="G27" s="44" t="n">
        <x:v>4</x:v>
      </x:c>
      <x:c r="H27" s="44" t="n">
        <x:v>4</x:v>
      </x:c>
      <x:c r="I27" s="44" t="n">
        <x:v>7</x:v>
      </x:c>
      <x:c r="J27" s="44" t="n">
        <x:v>5</x:v>
      </x:c>
      <x:c r="K27" s="44" t="n">
        <x:v>5</x:v>
      </x:c>
      <x:c r="L27" s="45" t="n">
        <x:v>0</x:v>
      </x:c>
      <x:c r="M27" s="45" t="n">
        <x:v>1</x:v>
      </x:c>
      <x:c r="N27" s="45" t="n">
        <x:v>1</x:v>
      </x:c>
      <x:c r="O27" s="45" t="n">
        <x:v>0</x:v>
      </x:c>
      <x:c r="P27" s="45" t="n">
        <x:v>0</x:v>
      </x:c>
      <x:c r="Q27" s="45" t="n">
        <x:v>0</x:v>
      </x:c>
      <x:c r="R27" s="46" t="n">
        <x:v>7</x:v>
      </x:c>
      <x:c r="S27" s="46" t="n">
        <x:v>7</x:v>
      </x:c>
      <x:c r="T27" s="46" t="n">
        <x:v>7</x:v>
      </x:c>
      <x:c r="U27" s="46" t="n">
        <x:v>7</x:v>
      </x:c>
      <x:c r="V27" s="46" t="n">
        <x:v>3</x:v>
      </x:c>
      <x:c r="W27" s="46" t="n">
        <x:v>6</x:v>
      </x:c>
      <x:c r="X27" s="46" t="n">
        <x:v>6</x:v>
      </x:c>
      <x:c r="Y27" s="47"/>
      <x:c r="Z27" s="47"/>
      <x:c r="AA27" s="47"/>
      <x:c r="AB27" s="47"/>
      <x:c r="AC27" s="47"/>
      <x:c r="AD27" s="47"/>
      <x:c r="AE27" s="47"/>
      <x:c r="AF27" s="47"/>
      <x:c r="AG27" s="47"/>
      <x:c r="AH27" s="47"/>
      <x:c r="AI27" s="48" t="n">
        <x:f>AVERAGE(D27:K27)</x:f>
        <x:v>5.25</x:v>
      </x:c>
      <x:c r="AJ27" s="48" t="n">
        <x:f>SUM(L27:Q27)</x:f>
        <x:v>2</x:v>
      </x:c>
      <x:c r="AK27" s="48" t="n">
        <x:f>AVERAGE(R27:X27)</x:f>
        <x:v>6.142857142857143</x:v>
      </x:c>
      <x:c r="AL27" s="48" t="str">
        <x:f>IF(COUNT(Y27:AH27)=10,((Y27-1)+(5-Z27)+(AA27-1)+(5-AB27)+(AC27-1)+(5-AD27)+(AE27-1)+(5-AF27)+(AG27-1)+(5-AH27))*2.5,"")</x:f>
      </x:c>
    </x:row>
    <x:row r="28">
      <x:c r="A28" s="43" t="str">
        <x:v>Original</x:v>
      </x:c>
      <x:c r="B28" s="43" t="str">
        <x:v>CAVE</x:v>
      </x:c>
      <x:c r="C28" s="43" t="n">
        <x:v>77</x:v>
      </x:c>
      <x:c r="D28" s="44" t="n">
        <x:v>3</x:v>
      </x:c>
      <x:c r="E28" s="44" t="n">
        <x:v>2</x:v>
      </x:c>
      <x:c r="F28" s="44" t="n">
        <x:v>3</x:v>
      </x:c>
      <x:c r="G28" s="44" t="n">
        <x:v>6</x:v>
      </x:c>
      <x:c r="H28" s="44" t="n">
        <x:v>6</x:v>
      </x:c>
      <x:c r="I28" s="44" t="n">
        <x:v>5</x:v>
      </x:c>
      <x:c r="J28" s="44" t="n">
        <x:v>3</x:v>
      </x:c>
      <x:c r="K28" s="44" t="n">
        <x:v>6</x:v>
      </x:c>
      <x:c r="L28" s="45" t="n">
        <x:v>3</x:v>
      </x:c>
      <x:c r="M28" s="45" t="n">
        <x:v>0</x:v>
      </x:c>
      <x:c r="N28" s="45" t="n">
        <x:v>1</x:v>
      </x:c>
      <x:c r="O28" s="45" t="n">
        <x:v>0</x:v>
      </x:c>
      <x:c r="P28" s="45" t="n">
        <x:v>0</x:v>
      </x:c>
      <x:c r="Q28" s="45" t="n">
        <x:v>0</x:v>
      </x:c>
      <x:c r="R28" s="46" t="n">
        <x:v>5</x:v>
      </x:c>
      <x:c r="S28" s="46" t="n">
        <x:v>6</x:v>
      </x:c>
      <x:c r="T28" s="46" t="n">
        <x:v>6</x:v>
      </x:c>
      <x:c r="U28" s="46" t="n">
        <x:v>4</x:v>
      </x:c>
      <x:c r="V28" s="46" t="n">
        <x:v>2</x:v>
      </x:c>
      <x:c r="W28" s="46" t="n">
        <x:v>5</x:v>
      </x:c>
      <x:c r="X28" s="46" t="n">
        <x:v>3</x:v>
      </x:c>
      <x:c r="Y28" s="47"/>
      <x:c r="Z28" s="47"/>
      <x:c r="AA28" s="47"/>
      <x:c r="AB28" s="47"/>
      <x:c r="AC28" s="47"/>
      <x:c r="AD28" s="47"/>
      <x:c r="AE28" s="47"/>
      <x:c r="AF28" s="47"/>
      <x:c r="AG28" s="47"/>
      <x:c r="AH28" s="47"/>
      <x:c r="AI28" s="48" t="n">
        <x:f>AVERAGE(D28:K28)</x:f>
        <x:v>4.25</x:v>
      </x:c>
      <x:c r="AJ28" s="48" t="n">
        <x:f>SUM(L28:Q28)</x:f>
        <x:v>4</x:v>
      </x:c>
      <x:c r="AK28" s="48" t="n">
        <x:f>AVERAGE(R28:X28)</x:f>
        <x:v>4.428571428571429</x:v>
      </x:c>
      <x:c r="AL28" s="48" t="str">
        <x:f>IF(COUNT(Y28:AH28)=10,((Y28-1)+(5-Z28)+(AA28-1)+(5-AB28)+(AC28-1)+(5-AD28)+(AE28-1)+(5-AF28)+(AG28-1)+(5-AH28))*2.5,"")</x:f>
      </x:c>
    </x:row>
    <x:row r="29">
      <x:c r="A29" s="43" t="str">
        <x:v>Original</x:v>
      </x:c>
      <x:c r="B29" s="43" t="str">
        <x:v>CAVE</x:v>
      </x:c>
      <x:c r="C29" s="43" t="n">
        <x:v>78</x:v>
      </x:c>
      <x:c r="D29" s="44" t="n">
        <x:v>7</x:v>
      </x:c>
      <x:c r="E29" s="44" t="n">
        <x:v>6</x:v>
      </x:c>
      <x:c r="F29" s="44" t="n">
        <x:v>6</x:v>
      </x:c>
      <x:c r="G29" s="44" t="n">
        <x:v>7</x:v>
      </x:c>
      <x:c r="H29" s="44" t="n">
        <x:v>4</x:v>
      </x:c>
      <x:c r="I29" s="44" t="n">
        <x:v>6</x:v>
      </x:c>
      <x:c r="J29" s="44" t="n">
        <x:v>6</x:v>
      </x:c>
      <x:c r="K29" s="44" t="n">
        <x:v>6</x:v>
      </x:c>
      <x:c r="L29" s="45" t="n">
        <x:v>0</x:v>
      </x:c>
      <x:c r="M29" s="45" t="n">
        <x:v>0</x:v>
      </x:c>
      <x:c r="N29" s="45" t="n">
        <x:v>1</x:v>
      </x:c>
      <x:c r="O29" s="45" t="n">
        <x:v>0</x:v>
      </x:c>
      <x:c r="P29" s="45" t="n">
        <x:v>0</x:v>
      </x:c>
      <x:c r="Q29" s="45" t="n">
        <x:v>0</x:v>
      </x:c>
      <x:c r="R29" s="46" t="n">
        <x:v>7</x:v>
      </x:c>
      <x:c r="S29" s="46" t="n">
        <x:v>7</x:v>
      </x:c>
      <x:c r="T29" s="46" t="n">
        <x:v>6</x:v>
      </x:c>
      <x:c r="U29" s="46" t="n">
        <x:v>7</x:v>
      </x:c>
      <x:c r="V29" s="46" t="n">
        <x:v>6</x:v>
      </x:c>
      <x:c r="W29" s="46" t="n">
        <x:v>6</x:v>
      </x:c>
      <x:c r="X29" s="46" t="n">
        <x:v>7</x:v>
      </x:c>
      <x:c r="Y29" s="47"/>
      <x:c r="Z29" s="47"/>
      <x:c r="AA29" s="47"/>
      <x:c r="AB29" s="47"/>
      <x:c r="AC29" s="47"/>
      <x:c r="AD29" s="47"/>
      <x:c r="AE29" s="47"/>
      <x:c r="AF29" s="47"/>
      <x:c r="AG29" s="47"/>
      <x:c r="AH29" s="47"/>
      <x:c r="AI29" s="48" t="n">
        <x:f>AVERAGE(D29:K29)</x:f>
        <x:v>6</x:v>
      </x:c>
      <x:c r="AJ29" s="48" t="n">
        <x:f>SUM(L29:Q29)</x:f>
        <x:v>1</x:v>
      </x:c>
      <x:c r="AK29" s="48" t="n">
        <x:f>AVERAGE(R29:X29)</x:f>
        <x:v>6.571428571428571</x:v>
      </x:c>
      <x:c r="AL29" s="48" t="str">
        <x:f>IF(COUNT(Y29:AH29)=10,((Y29-1)+(5-Z29)+(AA29-1)+(5-AB29)+(AC29-1)+(5-AD29)+(AE29-1)+(5-AF29)+(AG29-1)+(5-AH29))*2.5,"")</x:f>
      </x:c>
    </x:row>
    <x:row r="30">
      <x:c r="A30" s="43" t="str">
        <x:v>Original</x:v>
      </x:c>
      <x:c r="B30" s="43" t="str">
        <x:v>CAVE</x:v>
      </x:c>
      <x:c r="C30" s="43" t="n">
        <x:v>79</x:v>
      </x:c>
      <x:c r="D30" s="44" t="n">
        <x:v>6</x:v>
      </x:c>
      <x:c r="E30" s="44" t="n">
        <x:v>6</x:v>
      </x:c>
      <x:c r="F30" s="44" t="n">
        <x:v>6</x:v>
      </x:c>
      <x:c r="G30" s="44" t="n">
        <x:v>6</x:v>
      </x:c>
      <x:c r="H30" s="44" t="n">
        <x:v>2</x:v>
      </x:c>
      <x:c r="I30" s="44" t="n">
        <x:v>6</x:v>
      </x:c>
      <x:c r="J30" s="44" t="n">
        <x:v>6</x:v>
      </x:c>
      <x:c r="K30" s="44" t="n">
        <x:v>5</x:v>
      </x:c>
      <x:c r="L30" s="45" t="n">
        <x:v>1</x:v>
      </x:c>
      <x:c r="M30" s="45" t="n">
        <x:v>0</x:v>
      </x:c>
      <x:c r="N30" s="45" t="n">
        <x:v>1</x:v>
      </x:c>
      <x:c r="O30" s="45" t="n">
        <x:v>3</x:v>
      </x:c>
      <x:c r="P30" s="45" t="n">
        <x:v>1</x:v>
      </x:c>
      <x:c r="Q30" s="45" t="n">
        <x:v>0</x:v>
      </x:c>
      <x:c r="R30" s="46" t="n">
        <x:v>6</x:v>
      </x:c>
      <x:c r="S30" s="46" t="n">
        <x:v>6</x:v>
      </x:c>
      <x:c r="T30" s="46" t="n">
        <x:v>6</x:v>
      </x:c>
      <x:c r="U30" s="46" t="n">
        <x:v>6</x:v>
      </x:c>
      <x:c r="V30" s="46" t="n">
        <x:v>6</x:v>
      </x:c>
      <x:c r="W30" s="46" t="n">
        <x:v>4</x:v>
      </x:c>
      <x:c r="X30" s="46" t="n">
        <x:v>3</x:v>
      </x:c>
      <x:c r="Y30" s="47"/>
      <x:c r="Z30" s="47"/>
      <x:c r="AA30" s="47"/>
      <x:c r="AB30" s="47"/>
      <x:c r="AC30" s="47"/>
      <x:c r="AD30" s="47"/>
      <x:c r="AE30" s="47"/>
      <x:c r="AF30" s="47"/>
      <x:c r="AG30" s="47"/>
      <x:c r="AH30" s="47"/>
      <x:c r="AI30" s="48" t="n">
        <x:f>AVERAGE(D30:K30)</x:f>
        <x:v>5.375</x:v>
      </x:c>
      <x:c r="AJ30" s="48" t="n">
        <x:f>SUM(L30:Q30)</x:f>
        <x:v>6</x:v>
      </x:c>
      <x:c r="AK30" s="48" t="n">
        <x:f>AVERAGE(R30:X30)</x:f>
        <x:v>5.285714285714286</x:v>
      </x:c>
      <x:c r="AL30" s="48" t="str">
        <x:f>IF(COUNT(Y30:AH30)=10,((Y30-1)+(5-Z30)+(AA30-1)+(5-AB30)+(AC30-1)+(5-AD30)+(AE30-1)+(5-AF30)+(AG30-1)+(5-AH30))*2.5,"")</x:f>
      </x:c>
    </x:row>
    <x:row r="31">
      <x:c r="A31" s="43" t="str">
        <x:v>Original</x:v>
      </x:c>
      <x:c r="B31" s="43" t="str">
        <x:v>CAVE</x:v>
      </x:c>
      <x:c r="C31" s="43" t="n">
        <x:v>80</x:v>
      </x:c>
      <x:c r="D31" s="44" t="n">
        <x:v>6</x:v>
      </x:c>
      <x:c r="E31" s="44" t="n">
        <x:v>6</x:v>
      </x:c>
      <x:c r="F31" s="44" t="n">
        <x:v>6</x:v>
      </x:c>
      <x:c r="G31" s="44" t="n">
        <x:v>5</x:v>
      </x:c>
      <x:c r="H31" s="44" t="n">
        <x:v>5</x:v>
      </x:c>
      <x:c r="I31" s="44" t="n">
        <x:v>5</x:v>
      </x:c>
      <x:c r="J31" s="44" t="n">
        <x:v>5</x:v>
      </x:c>
      <x:c r="K31" s="44" t="n">
        <x:v>5</x:v>
      </x:c>
      <x:c r="L31" s="45" t="n">
        <x:v>3</x:v>
      </x:c>
      <x:c r="M31" s="45" t="n">
        <x:v>1</x:v>
      </x:c>
      <x:c r="N31" s="45" t="n">
        <x:v>1</x:v>
      </x:c>
      <x:c r="O31" s="45" t="n">
        <x:v>1</x:v>
      </x:c>
      <x:c r="P31" s="45" t="n">
        <x:v>1</x:v>
      </x:c>
      <x:c r="Q31" s="45" t="n">
        <x:v>1</x:v>
      </x:c>
      <x:c r="R31" s="46" t="n">
        <x:v>6</x:v>
      </x:c>
      <x:c r="S31" s="46" t="n">
        <x:v>7</x:v>
      </x:c>
      <x:c r="T31" s="46" t="n">
        <x:v>6</x:v>
      </x:c>
      <x:c r="U31" s="46" t="n">
        <x:v>6</x:v>
      </x:c>
      <x:c r="V31" s="46" t="n">
        <x:v>3</x:v>
      </x:c>
      <x:c r="W31" s="46" t="n">
        <x:v>6</x:v>
      </x:c>
      <x:c r="X31" s="46" t="n">
        <x:v>5</x:v>
      </x:c>
      <x:c r="Y31" s="47"/>
      <x:c r="Z31" s="47"/>
      <x:c r="AA31" s="47"/>
      <x:c r="AB31" s="47"/>
      <x:c r="AC31" s="47"/>
      <x:c r="AD31" s="47"/>
      <x:c r="AE31" s="47"/>
      <x:c r="AF31" s="47"/>
      <x:c r="AG31" s="47"/>
      <x:c r="AH31" s="47"/>
      <x:c r="AI31" s="48" t="n">
        <x:f>AVERAGE(D31:K31)</x:f>
        <x:v>5.375</x:v>
      </x:c>
      <x:c r="AJ31" s="48" t="n">
        <x:f>SUM(L31:Q31)</x:f>
        <x:v>8</x:v>
      </x:c>
      <x:c r="AK31" s="48" t="n">
        <x:f>AVERAGE(R31:X31)</x:f>
        <x:v>5.571428571428571</x:v>
      </x:c>
      <x:c r="AL31" s="48" t="str">
        <x:f>IF(COUNT(Y31:AH31)=10,((Y31-1)+(5-Z31)+(AA31-1)+(5-AB31)+(AC31-1)+(5-AD31)+(AE31-1)+(5-AF31)+(AG31-1)+(5-AH31))*2.5,"")</x:f>
      </x:c>
    </x:row>
    <x:row r="32">
      <x:c r="A32" s="43" t="str">
        <x:v>Original</x:v>
      </x:c>
      <x:c r="B32" s="43" t="str">
        <x:v>CAVE</x:v>
      </x:c>
      <x:c r="C32" s="43" t="n">
        <x:v>81</x:v>
      </x:c>
      <x:c r="D32" s="44" t="n">
        <x:v>7</x:v>
      </x:c>
      <x:c r="E32" s="44" t="n">
        <x:v>6</x:v>
      </x:c>
      <x:c r="F32" s="44" t="n">
        <x:v>7</x:v>
      </x:c>
      <x:c r="G32" s="44" t="n">
        <x:v>6</x:v>
      </x:c>
      <x:c r="H32" s="44" t="n">
        <x:v>5</x:v>
      </x:c>
      <x:c r="I32" s="44" t="n">
        <x:v>6</x:v>
      </x:c>
      <x:c r="J32" s="44" t="n">
        <x:v>5</x:v>
      </x:c>
      <x:c r="K32" s="44" t="n">
        <x:v>6</x:v>
      </x:c>
      <x:c r="L32" s="45" t="n">
        <x:v>0</x:v>
      </x:c>
      <x:c r="M32" s="45" t="n">
        <x:v>0</x:v>
      </x:c>
      <x:c r="N32" s="45" t="n">
        <x:v>1</x:v>
      </x:c>
      <x:c r="O32" s="45" t="n">
        <x:v>1</x:v>
      </x:c>
      <x:c r="P32" s="45" t="n">
        <x:v>0</x:v>
      </x:c>
      <x:c r="Q32" s="45" t="n">
        <x:v>0</x:v>
      </x:c>
      <x:c r="R32" s="46" t="n">
        <x:v>7</x:v>
      </x:c>
      <x:c r="S32" s="46" t="n">
        <x:v>7</x:v>
      </x:c>
      <x:c r="T32" s="46" t="n">
        <x:v>7</x:v>
      </x:c>
      <x:c r="U32" s="46" t="n">
        <x:v>6</x:v>
      </x:c>
      <x:c r="V32" s="46" t="n">
        <x:v>6</x:v>
      </x:c>
      <x:c r="W32" s="46" t="n">
        <x:v>6</x:v>
      </x:c>
      <x:c r="X32" s="46" t="n">
        <x:v>7</x:v>
      </x:c>
      <x:c r="Y32" s="47"/>
      <x:c r="Z32" s="47"/>
      <x:c r="AA32" s="47"/>
      <x:c r="AB32" s="47"/>
      <x:c r="AC32" s="47"/>
      <x:c r="AD32" s="47"/>
      <x:c r="AE32" s="47"/>
      <x:c r="AF32" s="47"/>
      <x:c r="AG32" s="47"/>
      <x:c r="AH32" s="47"/>
      <x:c r="AI32" s="48" t="n">
        <x:f>AVERAGE(D32:K32)</x:f>
        <x:v>6</x:v>
      </x:c>
      <x:c r="AJ32" s="48" t="n">
        <x:f>SUM(L32:Q32)</x:f>
        <x:v>2</x:v>
      </x:c>
      <x:c r="AK32" s="48" t="n">
        <x:f>AVERAGE(R32:X32)</x:f>
        <x:v>6.571428571428571</x:v>
      </x:c>
      <x:c r="AL32" s="48" t="str">
        <x:f>IF(COUNT(Y32:AH32)=10,((Y32-1)+(5-Z32)+(AA32-1)+(5-AB32)+(AC32-1)+(5-AD32)+(AE32-1)+(5-AF32)+(AG32-1)+(5-AH32))*2.5,"")</x:f>
      </x:c>
    </x:row>
    <x:row r="33">
      <x:c r="A33" s="43" t="str">
        <x:v>Original</x:v>
      </x:c>
      <x:c r="B33" s="43" t="str">
        <x:v>CAVE</x:v>
      </x:c>
      <x:c r="C33" s="43" t="n">
        <x:v>82</x:v>
      </x:c>
      <x:c r="D33" s="44" t="n">
        <x:v>7</x:v>
      </x:c>
      <x:c r="E33" s="44" t="n">
        <x:v>7</x:v>
      </x:c>
      <x:c r="F33" s="44" t="n">
        <x:v>6</x:v>
      </x:c>
      <x:c r="G33" s="44" t="n">
        <x:v>6</x:v>
      </x:c>
      <x:c r="H33" s="44" t="n">
        <x:v>5</x:v>
      </x:c>
      <x:c r="I33" s="44" t="n">
        <x:v>7</x:v>
      </x:c>
      <x:c r="J33" s="44" t="n">
        <x:v>7</x:v>
      </x:c>
      <x:c r="K33" s="44" t="n">
        <x:v>7</x:v>
      </x:c>
      <x:c r="L33" s="45" t="n">
        <x:v>0</x:v>
      </x:c>
      <x:c r="M33" s="45" t="n">
        <x:v>0</x:v>
      </x:c>
      <x:c r="N33" s="45" t="n">
        <x:v>0</x:v>
      </x:c>
      <x:c r="O33" s="45" t="n">
        <x:v>1</x:v>
      </x:c>
      <x:c r="P33" s="45" t="n">
        <x:v>0</x:v>
      </x:c>
      <x:c r="Q33" s="45" t="n">
        <x:v>0</x:v>
      </x:c>
      <x:c r="R33" s="46" t="n">
        <x:v>7</x:v>
      </x:c>
      <x:c r="S33" s="46" t="n">
        <x:v>7</x:v>
      </x:c>
      <x:c r="T33" s="46" t="n">
        <x:v>7</x:v>
      </x:c>
      <x:c r="U33" s="46" t="n">
        <x:v>7</x:v>
      </x:c>
      <x:c r="V33" s="46" t="n">
        <x:v>7</x:v>
      </x:c>
      <x:c r="W33" s="46" t="n">
        <x:v>6</x:v>
      </x:c>
      <x:c r="X33" s="46" t="n">
        <x:v>6</x:v>
      </x:c>
      <x:c r="Y33" s="47"/>
      <x:c r="Z33" s="47"/>
      <x:c r="AA33" s="47"/>
      <x:c r="AB33" s="47"/>
      <x:c r="AC33" s="47"/>
      <x:c r="AD33" s="47"/>
      <x:c r="AE33" s="47"/>
      <x:c r="AF33" s="47"/>
      <x:c r="AG33" s="47"/>
      <x:c r="AH33" s="47"/>
      <x:c r="AI33" s="48" t="n">
        <x:f>AVERAGE(D33:K33)</x:f>
        <x:v>6.5</x:v>
      </x:c>
      <x:c r="AJ33" s="48" t="n">
        <x:f>SUM(L33:Q33)</x:f>
        <x:v>1</x:v>
      </x:c>
      <x:c r="AK33" s="48" t="n">
        <x:f>AVERAGE(R33:X33)</x:f>
        <x:v>6.714285714285714</x:v>
      </x:c>
      <x:c r="AL33" s="48" t="str">
        <x:f>IF(COUNT(Y33:AH33)=10,((Y33-1)+(5-Z33)+(AA33-1)+(5-AB33)+(AC33-1)+(5-AD33)+(AE33-1)+(5-AF33)+(AG33-1)+(5-AH33))*2.5,"")</x:f>
      </x:c>
    </x:row>
    <x:row r="34">
      <x:c r="A34" s="43" t="str">
        <x:v>Original</x:v>
      </x:c>
      <x:c r="B34" s="43" t="str">
        <x:v>CAVE</x:v>
      </x:c>
      <x:c r="C34" s="43" t="n">
        <x:v>83</x:v>
      </x:c>
      <x:c r="D34" s="44" t="n">
        <x:v>6</x:v>
      </x:c>
      <x:c r="E34" s="44" t="n">
        <x:v>6</x:v>
      </x:c>
      <x:c r="F34" s="44" t="n">
        <x:v>6</x:v>
      </x:c>
      <x:c r="G34" s="44" t="n">
        <x:v>6</x:v>
      </x:c>
      <x:c r="H34" s="44" t="n">
        <x:v>4</x:v>
      </x:c>
      <x:c r="I34" s="44" t="n">
        <x:v>7</x:v>
      </x:c>
      <x:c r="J34" s="44" t="n">
        <x:v>7</x:v>
      </x:c>
      <x:c r="K34" s="44" t="n">
        <x:v>7</x:v>
      </x:c>
      <x:c r="L34" s="45" t="n">
        <x:v>3</x:v>
      </x:c>
      <x:c r="M34" s="45" t="n">
        <x:v>1</x:v>
      </x:c>
      <x:c r="N34" s="45" t="n">
        <x:v>3</x:v>
      </x:c>
      <x:c r="O34" s="45" t="n">
        <x:v>4</x:v>
      </x:c>
      <x:c r="P34" s="45" t="n">
        <x:v>1</x:v>
      </x:c>
      <x:c r="Q34" s="45" t="n">
        <x:v>0</x:v>
      </x:c>
      <x:c r="R34" s="46" t="n">
        <x:v>6</x:v>
      </x:c>
      <x:c r="S34" s="46" t="n">
        <x:v>6</x:v>
      </x:c>
      <x:c r="T34" s="46" t="n">
        <x:v>6</x:v>
      </x:c>
      <x:c r="U34" s="46" t="n">
        <x:v>6</x:v>
      </x:c>
      <x:c r="V34" s="46" t="n">
        <x:v>3</x:v>
      </x:c>
      <x:c r="W34" s="46" t="n">
        <x:v>6</x:v>
      </x:c>
      <x:c r="X34" s="46" t="n">
        <x:v>6</x:v>
      </x:c>
      <x:c r="Y34" s="47"/>
      <x:c r="Z34" s="47"/>
      <x:c r="AA34" s="47"/>
      <x:c r="AB34" s="47"/>
      <x:c r="AC34" s="47"/>
      <x:c r="AD34" s="47"/>
      <x:c r="AE34" s="47"/>
      <x:c r="AF34" s="47"/>
      <x:c r="AG34" s="47"/>
      <x:c r="AH34" s="47"/>
      <x:c r="AI34" s="48" t="n">
        <x:f>AVERAGE(D34:K34)</x:f>
        <x:v>6.125</x:v>
      </x:c>
      <x:c r="AJ34" s="48" t="n">
        <x:f>SUM(L34:Q34)</x:f>
        <x:v>12</x:v>
      </x:c>
      <x:c r="AK34" s="48" t="n">
        <x:f>AVERAGE(R34:X34)</x:f>
        <x:v>5.571428571428571</x:v>
      </x:c>
      <x:c r="AL34" s="48" t="str">
        <x:f>IF(COUNT(Y34:AH34)=10,((Y34-1)+(5-Z34)+(AA34-1)+(5-AB34)+(AC34-1)+(5-AD34)+(AE34-1)+(5-AF34)+(AG34-1)+(5-AH34))*2.5,"")</x:f>
      </x:c>
    </x:row>
    <x:row r="35">
      <x:c r="A35" s="43" t="str">
        <x:v>Original</x:v>
      </x:c>
      <x:c r="B35" s="43" t="str">
        <x:v>CAVE</x:v>
      </x:c>
      <x:c r="C35" s="43" t="n">
        <x:v>84</x:v>
      </x:c>
      <x:c r="D35" s="44" t="n">
        <x:v>6</x:v>
      </x:c>
      <x:c r="E35" s="44" t="n">
        <x:v>5</x:v>
      </x:c>
      <x:c r="F35" s="44" t="n">
        <x:v>4</x:v>
      </x:c>
      <x:c r="G35" s="44" t="n">
        <x:v>5</x:v>
      </x:c>
      <x:c r="H35" s="44" t="n">
        <x:v>3</x:v>
      </x:c>
      <x:c r="I35" s="44" t="n">
        <x:v>6</x:v>
      </x:c>
      <x:c r="J35" s="44" t="n">
        <x:v>5</x:v>
      </x:c>
      <x:c r="K35" s="44" t="n">
        <x:v>5</x:v>
      </x:c>
      <x:c r="L35" s="45" t="n">
        <x:v>0</x:v>
      </x:c>
      <x:c r="M35" s="45" t="n">
        <x:v>0</x:v>
      </x:c>
      <x:c r="N35" s="45" t="n">
        <x:v>0</x:v>
      </x:c>
      <x:c r="O35" s="45" t="n">
        <x:v>0</x:v>
      </x:c>
      <x:c r="P35" s="45" t="n">
        <x:v>0</x:v>
      </x:c>
      <x:c r="Q35" s="45" t="n">
        <x:v>0</x:v>
      </x:c>
      <x:c r="R35" s="46" t="n">
        <x:v>6</x:v>
      </x:c>
      <x:c r="S35" s="46" t="n">
        <x:v>6</x:v>
      </x:c>
      <x:c r="T35" s="46" t="n">
        <x:v>6</x:v>
      </x:c>
      <x:c r="U35" s="46" t="n">
        <x:v>6</x:v>
      </x:c>
      <x:c r="V35" s="46" t="n">
        <x:v>6</x:v>
      </x:c>
      <x:c r="W35" s="46" t="n">
        <x:v>6</x:v>
      </x:c>
      <x:c r="X35" s="46" t="n">
        <x:v>6</x:v>
      </x:c>
      <x:c r="Y35" s="47"/>
      <x:c r="Z35" s="47"/>
      <x:c r="AA35" s="47"/>
      <x:c r="AB35" s="47"/>
      <x:c r="AC35" s="47"/>
      <x:c r="AD35" s="47"/>
      <x:c r="AE35" s="47"/>
      <x:c r="AF35" s="47"/>
      <x:c r="AG35" s="47"/>
      <x:c r="AH35" s="47"/>
      <x:c r="AI35" s="48" t="n">
        <x:f>AVERAGE(D35:K35)</x:f>
        <x:v>4.875</x:v>
      </x:c>
      <x:c r="AJ35" s="48" t="n">
        <x:f>SUM(L35:Q35)</x:f>
        <x:v>0</x:v>
      </x:c>
      <x:c r="AK35" s="48" t="n">
        <x:f>AVERAGE(R35:X35)</x:f>
        <x:v>6</x:v>
      </x:c>
      <x:c r="AL35" s="48" t="str">
        <x:f>IF(COUNT(Y35:AH35)=10,((Y35-1)+(5-Z35)+(AA35-1)+(5-AB35)+(AC35-1)+(5-AD35)+(AE35-1)+(5-AF35)+(AG35-1)+(5-AH35))*2.5,"")</x:f>
      </x:c>
    </x:row>
    <x:row r="36">
      <x:c r="A36" s="43" t="str">
        <x:v>Original</x:v>
      </x:c>
      <x:c r="B36" s="43" t="str">
        <x:v>CAVE</x:v>
      </x:c>
      <x:c r="C36" s="43" t="n">
        <x:v>85</x:v>
      </x:c>
      <x:c r="D36" s="44" t="n">
        <x:v>6</x:v>
      </x:c>
      <x:c r="E36" s="44" t="n">
        <x:v>5</x:v>
      </x:c>
      <x:c r="F36" s="44" t="n">
        <x:v>5</x:v>
      </x:c>
      <x:c r="G36" s="44" t="n">
        <x:v>5</x:v>
      </x:c>
      <x:c r="H36" s="44" t="n">
        <x:v>4</x:v>
      </x:c>
      <x:c r="I36" s="44" t="n">
        <x:v>6</x:v>
      </x:c>
      <x:c r="J36" s="44" t="n">
        <x:v>5</x:v>
      </x:c>
      <x:c r="K36" s="44" t="n">
        <x:v>5</x:v>
      </x:c>
      <x:c r="L36" s="45" t="n">
        <x:v>0</x:v>
      </x:c>
      <x:c r="M36" s="45" t="n">
        <x:v>0</x:v>
      </x:c>
      <x:c r="N36" s="45" t="n">
        <x:v>0</x:v>
      </x:c>
      <x:c r="O36" s="45" t="n">
        <x:v>0</x:v>
      </x:c>
      <x:c r="P36" s="45" t="n">
        <x:v>0</x:v>
      </x:c>
      <x:c r="Q36" s="45" t="n">
        <x:v>0</x:v>
      </x:c>
      <x:c r="R36" s="46" t="n">
        <x:v>6</x:v>
      </x:c>
      <x:c r="S36" s="46" t="n">
        <x:v>6</x:v>
      </x:c>
      <x:c r="T36" s="46" t="n">
        <x:v>5</x:v>
      </x:c>
      <x:c r="U36" s="46" t="n">
        <x:v>6</x:v>
      </x:c>
      <x:c r="V36" s="46" t="n">
        <x:v>4</x:v>
      </x:c>
      <x:c r="W36" s="46" t="n">
        <x:v>2</x:v>
      </x:c>
      <x:c r="X36" s="46" t="n">
        <x:v>4</x:v>
      </x:c>
      <x:c r="Y36" s="47"/>
      <x:c r="Z36" s="47"/>
      <x:c r="AA36" s="47"/>
      <x:c r="AB36" s="47"/>
      <x:c r="AC36" s="47"/>
      <x:c r="AD36" s="47"/>
      <x:c r="AE36" s="47"/>
      <x:c r="AF36" s="47"/>
      <x:c r="AG36" s="47"/>
      <x:c r="AH36" s="47"/>
      <x:c r="AI36" s="48" t="n">
        <x:f>AVERAGE(D36:K36)</x:f>
        <x:v>5.125</x:v>
      </x:c>
      <x:c r="AJ36" s="48" t="n">
        <x:f>SUM(L36:Q36)</x:f>
        <x:v>0</x:v>
      </x:c>
      <x:c r="AK36" s="48" t="n">
        <x:f>AVERAGE(R36:X36)</x:f>
        <x:v>4.714285714285714</x:v>
      </x:c>
      <x:c r="AL36" s="48" t="str">
        <x:f>IF(COUNT(Y36:AH36)=10,((Y36-1)+(5-Z36)+(AA36-1)+(5-AB36)+(AC36-1)+(5-AD36)+(AE36-1)+(5-AF36)+(AG36-1)+(5-AH36))*2.5,"")</x:f>
      </x:c>
    </x:row>
    <x:row r="37">
      <x:c r="A37" s="43" t="str">
        <x:v>Original</x:v>
      </x:c>
      <x:c r="B37" s="43" t="str">
        <x:v>CAVE</x:v>
      </x:c>
      <x:c r="C37" s="43" t="n">
        <x:v>86</x:v>
      </x:c>
      <x:c r="D37" s="44" t="n">
        <x:v>6</x:v>
      </x:c>
      <x:c r="E37" s="44" t="n">
        <x:v>7</x:v>
      </x:c>
      <x:c r="F37" s="44" t="n">
        <x:v>5</x:v>
      </x:c>
      <x:c r="G37" s="44" t="n">
        <x:v>6</x:v>
      </x:c>
      <x:c r="H37" s="44" t="n">
        <x:v>5</x:v>
      </x:c>
      <x:c r="I37" s="44" t="n">
        <x:v>6</x:v>
      </x:c>
      <x:c r="J37" s="44" t="n">
        <x:v>6</x:v>
      </x:c>
      <x:c r="K37" s="44" t="n">
        <x:v>6</x:v>
      </x:c>
      <x:c r="L37" s="45" t="n">
        <x:v>0</x:v>
      </x:c>
      <x:c r="M37" s="45" t="n">
        <x:v>0</x:v>
      </x:c>
      <x:c r="N37" s="45" t="n">
        <x:v>1</x:v>
      </x:c>
      <x:c r="O37" s="45" t="n">
        <x:v>0</x:v>
      </x:c>
      <x:c r="P37" s="45" t="n">
        <x:v>0</x:v>
      </x:c>
      <x:c r="Q37" s="45" t="n">
        <x:v>0</x:v>
      </x:c>
      <x:c r="R37" s="46" t="n">
        <x:v>7</x:v>
      </x:c>
      <x:c r="S37" s="46" t="n">
        <x:v>7</x:v>
      </x:c>
      <x:c r="T37" s="46" t="n">
        <x:v>7</x:v>
      </x:c>
      <x:c r="U37" s="46" t="n">
        <x:v>6</x:v>
      </x:c>
      <x:c r="V37" s="46" t="n">
        <x:v>6</x:v>
      </x:c>
      <x:c r="W37" s="46" t="n">
        <x:v>6</x:v>
      </x:c>
      <x:c r="X37" s="46" t="n">
        <x:v>6</x:v>
      </x:c>
      <x:c r="Y37" s="47"/>
      <x:c r="Z37" s="47"/>
      <x:c r="AA37" s="47"/>
      <x:c r="AB37" s="47"/>
      <x:c r="AC37" s="47"/>
      <x:c r="AD37" s="47"/>
      <x:c r="AE37" s="47"/>
      <x:c r="AF37" s="47"/>
      <x:c r="AG37" s="47"/>
      <x:c r="AH37" s="47"/>
      <x:c r="AI37" s="48" t="n">
        <x:f>AVERAGE(D37:K37)</x:f>
        <x:v>5.875</x:v>
      </x:c>
      <x:c r="AJ37" s="48" t="n">
        <x:f>SUM(L37:Q37)</x:f>
        <x:v>1</x:v>
      </x:c>
      <x:c r="AK37" s="48" t="n">
        <x:f>AVERAGE(R37:X37)</x:f>
        <x:v>6.428571428571429</x:v>
      </x:c>
      <x:c r="AL37" s="48" t="str">
        <x:f>IF(COUNT(Y37:AH37)=10,((Y37-1)+(5-Z37)+(AA37-1)+(5-AB37)+(AC37-1)+(5-AD37)+(AE37-1)+(5-AF37)+(AG37-1)+(5-AH37))*2.5,"")</x:f>
      </x:c>
    </x:row>
    <x:row r="38">
      <x:c r="A38" s="43" t="str">
        <x:v>Original</x:v>
      </x:c>
      <x:c r="B38" s="43" t="str">
        <x:v>CAVE</x:v>
      </x:c>
      <x:c r="C38" s="43" t="n">
        <x:v>87</x:v>
      </x:c>
      <x:c r="D38" s="44" t="n">
        <x:v>6</x:v>
      </x:c>
      <x:c r="E38" s="44" t="n">
        <x:v>6</x:v>
      </x:c>
      <x:c r="F38" s="44" t="n">
        <x:v>5</x:v>
      </x:c>
      <x:c r="G38" s="44" t="n">
        <x:v>6</x:v>
      </x:c>
      <x:c r="H38" s="44" t="n">
        <x:v>3</x:v>
      </x:c>
      <x:c r="I38" s="44" t="n">
        <x:v>6</x:v>
      </x:c>
      <x:c r="J38" s="44" t="n">
        <x:v>6</x:v>
      </x:c>
      <x:c r="K38" s="44" t="n">
        <x:v>5</x:v>
      </x:c>
      <x:c r="L38" s="45" t="n">
        <x:v>1</x:v>
      </x:c>
      <x:c r="M38" s="45" t="n">
        <x:v>0</x:v>
      </x:c>
      <x:c r="N38" s="45" t="n">
        <x:v>1</x:v>
      </x:c>
      <x:c r="O38" s="45" t="n">
        <x:v>1</x:v>
      </x:c>
      <x:c r="P38" s="45" t="n">
        <x:v>0</x:v>
      </x:c>
      <x:c r="Q38" s="45" t="n">
        <x:v>0</x:v>
      </x:c>
      <x:c r="R38" s="46" t="n">
        <x:v>6</x:v>
      </x:c>
      <x:c r="S38" s="46" t="n">
        <x:v>6</x:v>
      </x:c>
      <x:c r="T38" s="46" t="n">
        <x:v>5</x:v>
      </x:c>
      <x:c r="U38" s="46" t="n">
        <x:v>6</x:v>
      </x:c>
      <x:c r="V38" s="46" t="n">
        <x:v>3</x:v>
      </x:c>
      <x:c r="W38" s="46" t="n">
        <x:v>6</x:v>
      </x:c>
      <x:c r="X38" s="46" t="n">
        <x:v>6</x:v>
      </x:c>
      <x:c r="Y38" s="47"/>
      <x:c r="Z38" s="47"/>
      <x:c r="AA38" s="47"/>
      <x:c r="AB38" s="47"/>
      <x:c r="AC38" s="47"/>
      <x:c r="AD38" s="47"/>
      <x:c r="AE38" s="47"/>
      <x:c r="AF38" s="47"/>
      <x:c r="AG38" s="47"/>
      <x:c r="AH38" s="47"/>
      <x:c r="AI38" s="48" t="n">
        <x:f>AVERAGE(D38:K38)</x:f>
        <x:v>5.375</x:v>
      </x:c>
      <x:c r="AJ38" s="48" t="n">
        <x:f>SUM(L38:Q38)</x:f>
        <x:v>3</x:v>
      </x:c>
      <x:c r="AK38" s="48" t="n">
        <x:f>AVERAGE(R38:X38)</x:f>
        <x:v>5.428571428571429</x:v>
      </x:c>
      <x:c r="AL38" s="48" t="str">
        <x:f>IF(COUNT(Y38:AH38)=10,((Y38-1)+(5-Z38)+(AA38-1)+(5-AB38)+(AC38-1)+(5-AD38)+(AE38-1)+(5-AF38)+(AG38-1)+(5-AH38))*2.5,"")</x:f>
      </x:c>
    </x:row>
    <x:row r="39">
      <x:c r="A39" s="43" t="str">
        <x:v>Original</x:v>
      </x:c>
      <x:c r="B39" s="43" t="str">
        <x:v>CAVE</x:v>
      </x:c>
      <x:c r="C39" s="43" t="n">
        <x:v>88</x:v>
      </x:c>
      <x:c r="D39" s="44" t="n">
        <x:v>6</x:v>
      </x:c>
      <x:c r="E39" s="44" t="n">
        <x:v>5</x:v>
      </x:c>
      <x:c r="F39" s="44" t="n">
        <x:v>5</x:v>
      </x:c>
      <x:c r="G39" s="44" t="n">
        <x:v>6</x:v>
      </x:c>
      <x:c r="H39" s="44" t="n">
        <x:v>5</x:v>
      </x:c>
      <x:c r="I39" s="44" t="n">
        <x:v>6</x:v>
      </x:c>
      <x:c r="J39" s="44" t="n">
        <x:v>6</x:v>
      </x:c>
      <x:c r="K39" s="44" t="n">
        <x:v>6</x:v>
      </x:c>
      <x:c r="L39" s="45" t="n">
        <x:v>0</x:v>
      </x:c>
      <x:c r="M39" s="45" t="n">
        <x:v>1</x:v>
      </x:c>
      <x:c r="N39" s="45" t="n">
        <x:v>1</x:v>
      </x:c>
      <x:c r="O39" s="45" t="n">
        <x:v>1</x:v>
      </x:c>
      <x:c r="P39" s="45" t="n">
        <x:v>0</x:v>
      </x:c>
      <x:c r="Q39" s="45" t="n">
        <x:v>0</x:v>
      </x:c>
      <x:c r="R39" s="46" t="n">
        <x:v>7</x:v>
      </x:c>
      <x:c r="S39" s="46" t="n">
        <x:v>7</x:v>
      </x:c>
      <x:c r="T39" s="46" t="n">
        <x:v>6</x:v>
      </x:c>
      <x:c r="U39" s="46" t="n">
        <x:v>6</x:v>
      </x:c>
      <x:c r="V39" s="46" t="n">
        <x:v>5</x:v>
      </x:c>
      <x:c r="W39" s="46" t="n">
        <x:v>6</x:v>
      </x:c>
      <x:c r="X39" s="46" t="n">
        <x:v>6</x:v>
      </x:c>
      <x:c r="Y39" s="47"/>
      <x:c r="Z39" s="47"/>
      <x:c r="AA39" s="47"/>
      <x:c r="AB39" s="47"/>
      <x:c r="AC39" s="47"/>
      <x:c r="AD39" s="47"/>
      <x:c r="AE39" s="47"/>
      <x:c r="AF39" s="47"/>
      <x:c r="AG39" s="47"/>
      <x:c r="AH39" s="47"/>
      <x:c r="AI39" s="48" t="n">
        <x:f>AVERAGE(D39:K39)</x:f>
        <x:v>5.625</x:v>
      </x:c>
      <x:c r="AJ39" s="48" t="n">
        <x:f>SUM(L39:Q39)</x:f>
        <x:v>3</x:v>
      </x:c>
      <x:c r="AK39" s="48" t="n">
        <x:f>AVERAGE(R39:X39)</x:f>
        <x:v>6.142857142857143</x:v>
      </x:c>
      <x:c r="AL39" s="48" t="str">
        <x:f>IF(COUNT(Y39:AH39)=10,((Y39-1)+(5-Z39)+(AA39-1)+(5-AB39)+(AC39-1)+(5-AD39)+(AE39-1)+(5-AF39)+(AG39-1)+(5-AH39))*2.5,"")</x:f>
      </x:c>
    </x:row>
    <x:row r="40">
      <x:c r="A40" s="43" t="str">
        <x:v>Original</x:v>
      </x:c>
      <x:c r="B40" s="43" t="str">
        <x:v>CAVE</x:v>
      </x:c>
      <x:c r="C40" s="43" t="n">
        <x:v>89</x:v>
      </x:c>
      <x:c r="D40" s="44" t="n">
        <x:v>5</x:v>
      </x:c>
      <x:c r="E40" s="44" t="n">
        <x:v>6</x:v>
      </x:c>
      <x:c r="F40" s="44" t="n">
        <x:v>6</x:v>
      </x:c>
      <x:c r="G40" s="44" t="n">
        <x:v>4</x:v>
      </x:c>
      <x:c r="H40" s="44" t="n">
        <x:v>7</x:v>
      </x:c>
      <x:c r="I40" s="44" t="n">
        <x:v>6</x:v>
      </x:c>
      <x:c r="J40" s="44" t="n">
        <x:v>3</x:v>
      </x:c>
      <x:c r="K40" s="44" t="n">
        <x:v>5</x:v>
      </x:c>
      <x:c r="L40" s="45" t="n">
        <x:v>0</x:v>
      </x:c>
      <x:c r="M40" s="45" t="n">
        <x:v>1</x:v>
      </x:c>
      <x:c r="N40" s="45" t="n">
        <x:v>3</x:v>
      </x:c>
      <x:c r="O40" s="45" t="n">
        <x:v>4</x:v>
      </x:c>
      <x:c r="P40" s="45" t="n">
        <x:v>0</x:v>
      </x:c>
      <x:c r="Q40" s="45" t="n">
        <x:v>0</x:v>
      </x:c>
      <x:c r="R40" s="46" t="n">
        <x:v>7</x:v>
      </x:c>
      <x:c r="S40" s="46" t="n">
        <x:v>7</x:v>
      </x:c>
      <x:c r="T40" s="46" t="n">
        <x:v>6</x:v>
      </x:c>
      <x:c r="U40" s="46" t="n">
        <x:v>6</x:v>
      </x:c>
      <x:c r="V40" s="46" t="n">
        <x:v>3</x:v>
      </x:c>
      <x:c r="W40" s="46" t="n">
        <x:v>6</x:v>
      </x:c>
      <x:c r="X40" s="46" t="n">
        <x:v>6</x:v>
      </x:c>
      <x:c r="Y40" s="47"/>
      <x:c r="Z40" s="47"/>
      <x:c r="AA40" s="47"/>
      <x:c r="AB40" s="47"/>
      <x:c r="AC40" s="47"/>
      <x:c r="AD40" s="47"/>
      <x:c r="AE40" s="47"/>
      <x:c r="AF40" s="47"/>
      <x:c r="AG40" s="47"/>
      <x:c r="AH40" s="47"/>
      <x:c r="AI40" s="48" t="n">
        <x:f>AVERAGE(D40:K40)</x:f>
        <x:v>5.25</x:v>
      </x:c>
      <x:c r="AJ40" s="48" t="n">
        <x:f>SUM(L40:Q40)</x:f>
        <x:v>8</x:v>
      </x:c>
      <x:c r="AK40" s="48" t="n">
        <x:f>AVERAGE(R40:X40)</x:f>
        <x:v>5.857142857142857</x:v>
      </x:c>
      <x:c r="AL40" s="48" t="str">
        <x:f>IF(COUNT(Y40:AH40)=10,((Y40-1)+(5-Z40)+(AA40-1)+(5-AB40)+(AC40-1)+(5-AD40)+(AE40-1)+(5-AF40)+(AG40-1)+(5-AH40))*2.5,"")</x:f>
      </x:c>
    </x:row>
    <x:row r="41">
      <x:c r="A41" s="43" t="str">
        <x:v>Original</x:v>
      </x:c>
      <x:c r="B41" s="43" t="str">
        <x:v>CAVE</x:v>
      </x:c>
      <x:c r="C41" s="43" t="n">
        <x:v>90</x:v>
      </x:c>
      <x:c r="D41" s="44" t="n">
        <x:v>6</x:v>
      </x:c>
      <x:c r="E41" s="44" t="n">
        <x:v>6</x:v>
      </x:c>
      <x:c r="F41" s="44" t="n">
        <x:v>6</x:v>
      </x:c>
      <x:c r="G41" s="44" t="n">
        <x:v>6</x:v>
      </x:c>
      <x:c r="H41" s="44" t="n">
        <x:v>4</x:v>
      </x:c>
      <x:c r="I41" s="44" t="n">
        <x:v>6</x:v>
      </x:c>
      <x:c r="J41" s="44" t="n">
        <x:v>6</x:v>
      </x:c>
      <x:c r="K41" s="44" t="n">
        <x:v>6</x:v>
      </x:c>
      <x:c r="L41" s="45" t="n">
        <x:v>0</x:v>
      </x:c>
      <x:c r="M41" s="45" t="n">
        <x:v>1</x:v>
      </x:c>
      <x:c r="N41" s="45" t="n">
        <x:v>1</x:v>
      </x:c>
      <x:c r="O41" s="45" t="n">
        <x:v>1</x:v>
      </x:c>
      <x:c r="P41" s="45" t="n">
        <x:v>0</x:v>
      </x:c>
      <x:c r="Q41" s="45" t="n">
        <x:v>0</x:v>
      </x:c>
      <x:c r="R41" s="46" t="n">
        <x:v>6</x:v>
      </x:c>
      <x:c r="S41" s="46" t="n">
        <x:v>6</x:v>
      </x:c>
      <x:c r="T41" s="46" t="n">
        <x:v>6</x:v>
      </x:c>
      <x:c r="U41" s="46" t="n">
        <x:v>6</x:v>
      </x:c>
      <x:c r="V41" s="46" t="n">
        <x:v>6</x:v>
      </x:c>
      <x:c r="W41" s="46" t="n">
        <x:v>6</x:v>
      </x:c>
      <x:c r="X41" s="46" t="n">
        <x:v>6</x:v>
      </x:c>
      <x:c r="Y41" s="47"/>
      <x:c r="Z41" s="47"/>
      <x:c r="AA41" s="47"/>
      <x:c r="AB41" s="47"/>
      <x:c r="AC41" s="47"/>
      <x:c r="AD41" s="47"/>
      <x:c r="AE41" s="47"/>
      <x:c r="AF41" s="47"/>
      <x:c r="AG41" s="47"/>
      <x:c r="AH41" s="47"/>
      <x:c r="AI41" s="48" t="n">
        <x:f>AVERAGE(D41:K41)</x:f>
        <x:v>5.75</x:v>
      </x:c>
      <x:c r="AJ41" s="48" t="n">
        <x:f>SUM(L41:Q41)</x:f>
        <x:v>3</x:v>
      </x:c>
      <x:c r="AK41" s="48" t="n">
        <x:f>AVERAGE(R41:X41)</x:f>
        <x:v>6</x:v>
      </x:c>
      <x:c r="AL41" s="48" t="str">
        <x:f>IF(COUNT(Y41:AH41)=10,((Y41-1)+(5-Z41)+(AA41-1)+(5-AB41)+(AC41-1)+(5-AD41)+(AE41-1)+(5-AF41)+(AG41-1)+(5-AH41))*2.5,"")</x:f>
      </x:c>
    </x:row>
    <x:row r="42">
      <x:c r="A42" s="43" t="str">
        <x:v>Original</x:v>
      </x:c>
      <x:c r="B42" s="43" t="str">
        <x:v>CAVE</x:v>
      </x:c>
      <x:c r="C42" s="43" t="n">
        <x:v>91</x:v>
      </x:c>
      <x:c r="D42" s="44" t="n">
        <x:v>6</x:v>
      </x:c>
      <x:c r="E42" s="44" t="n">
        <x:v>5</x:v>
      </x:c>
      <x:c r="F42" s="44" t="n">
        <x:v>5</x:v>
      </x:c>
      <x:c r="G42" s="44" t="n">
        <x:v>5</x:v>
      </x:c>
      <x:c r="H42" s="44" t="n">
        <x:v>4</x:v>
      </x:c>
      <x:c r="I42" s="44" t="n">
        <x:v>6</x:v>
      </x:c>
      <x:c r="J42" s="44" t="n">
        <x:v>6</x:v>
      </x:c>
      <x:c r="K42" s="44" t="n">
        <x:v>5</x:v>
      </x:c>
      <x:c r="L42" s="45" t="n">
        <x:v>1</x:v>
      </x:c>
      <x:c r="M42" s="45" t="n">
        <x:v>1</x:v>
      </x:c>
      <x:c r="N42" s="45" t="n">
        <x:v>3</x:v>
      </x:c>
      <x:c r="O42" s="45" t="n">
        <x:v>3</x:v>
      </x:c>
      <x:c r="P42" s="45" t="n">
        <x:v>0</x:v>
      </x:c>
      <x:c r="Q42" s="45" t="n">
        <x:v>0</x:v>
      </x:c>
      <x:c r="R42" s="46" t="n">
        <x:v>6</x:v>
      </x:c>
      <x:c r="S42" s="46" t="n">
        <x:v>6</x:v>
      </x:c>
      <x:c r="T42" s="46" t="n">
        <x:v>6</x:v>
      </x:c>
      <x:c r="U42" s="46" t="n">
        <x:v>6</x:v>
      </x:c>
      <x:c r="V42" s="46" t="n">
        <x:v>6</x:v>
      </x:c>
      <x:c r="W42" s="46" t="n">
        <x:v>6</x:v>
      </x:c>
      <x:c r="X42" s="46" t="n">
        <x:v>6</x:v>
      </x:c>
      <x:c r="Y42" s="47"/>
      <x:c r="Z42" s="47"/>
      <x:c r="AA42" s="47"/>
      <x:c r="AB42" s="47"/>
      <x:c r="AC42" s="47"/>
      <x:c r="AD42" s="47"/>
      <x:c r="AE42" s="47"/>
      <x:c r="AF42" s="47"/>
      <x:c r="AG42" s="47"/>
      <x:c r="AH42" s="47"/>
      <x:c r="AI42" s="48" t="n">
        <x:f>AVERAGE(D42:K42)</x:f>
        <x:v>5.25</x:v>
      </x:c>
      <x:c r="AJ42" s="48" t="n">
        <x:f>SUM(L42:Q42)</x:f>
        <x:v>8</x:v>
      </x:c>
      <x:c r="AK42" s="48" t="n">
        <x:f>AVERAGE(R42:X42)</x:f>
        <x:v>6</x:v>
      </x:c>
      <x:c r="AL42" s="48" t="str">
        <x:f>IF(COUNT(Y42:AH42)=10,((Y42-1)+(5-Z42)+(AA42-1)+(5-AB42)+(AC42-1)+(5-AD42)+(AE42-1)+(5-AF42)+(AG42-1)+(5-AH42))*2.5,"")</x:f>
      </x:c>
    </x:row>
    <x:row r="43">
      <x:c r="A43" s="43" t="str">
        <x:v>Original</x:v>
      </x:c>
      <x:c r="B43" s="43" t="str">
        <x:v>CAVE</x:v>
      </x:c>
      <x:c r="C43" s="43" t="n">
        <x:v>92</x:v>
      </x:c>
      <x:c r="D43" s="44" t="n">
        <x:v>6</x:v>
      </x:c>
      <x:c r="E43" s="44" t="n">
        <x:v>6</x:v>
      </x:c>
      <x:c r="F43" s="44" t="n">
        <x:v>7</x:v>
      </x:c>
      <x:c r="G43" s="44" t="n">
        <x:v>7</x:v>
      </x:c>
      <x:c r="H43" s="44" t="n">
        <x:v>5</x:v>
      </x:c>
      <x:c r="I43" s="44" t="n">
        <x:v>6</x:v>
      </x:c>
      <x:c r="J43" s="44" t="n">
        <x:v>4</x:v>
      </x:c>
      <x:c r="K43" s="44" t="n">
        <x:v>6</x:v>
      </x:c>
      <x:c r="L43" s="45" t="n">
        <x:v>3</x:v>
      </x:c>
      <x:c r="M43" s="45" t="n">
        <x:v>0</x:v>
      </x:c>
      <x:c r="N43" s="45" t="n">
        <x:v>3</x:v>
      </x:c>
      <x:c r="O43" s="45" t="n">
        <x:v>3</x:v>
      </x:c>
      <x:c r="P43" s="45" t="n">
        <x:v>1</x:v>
      </x:c>
      <x:c r="Q43" s="45" t="n">
        <x:v>0</x:v>
      </x:c>
      <x:c r="R43" s="46" t="n">
        <x:v>7</x:v>
      </x:c>
      <x:c r="S43" s="46" t="n">
        <x:v>7</x:v>
      </x:c>
      <x:c r="T43" s="46" t="n">
        <x:v>6</x:v>
      </x:c>
      <x:c r="U43" s="46" t="n">
        <x:v>6</x:v>
      </x:c>
      <x:c r="V43" s="46" t="n">
        <x:v>2</x:v>
      </x:c>
      <x:c r="W43" s="46" t="n">
        <x:v>6</x:v>
      </x:c>
      <x:c r="X43" s="46" t="n">
        <x:v>5</x:v>
      </x:c>
      <x:c r="Y43" s="47"/>
      <x:c r="Z43" s="47"/>
      <x:c r="AA43" s="47"/>
      <x:c r="AB43" s="47"/>
      <x:c r="AC43" s="47"/>
      <x:c r="AD43" s="47"/>
      <x:c r="AE43" s="47"/>
      <x:c r="AF43" s="47"/>
      <x:c r="AG43" s="47"/>
      <x:c r="AH43" s="47"/>
      <x:c r="AI43" s="48" t="n">
        <x:f>AVERAGE(D43:K43)</x:f>
        <x:v>5.875</x:v>
      </x:c>
      <x:c r="AJ43" s="48" t="n">
        <x:f>SUM(L43:Q43)</x:f>
        <x:v>10</x:v>
      </x:c>
      <x:c r="AK43" s="48" t="n">
        <x:f>AVERAGE(R43:X43)</x:f>
        <x:v>5.571428571428571</x:v>
      </x:c>
      <x:c r="AL43" s="48" t="str">
        <x:f>IF(COUNT(Y43:AH43)=10,((Y43-1)+(5-Z43)+(AA43-1)+(5-AB43)+(AC43-1)+(5-AD43)+(AE43-1)+(5-AF43)+(AG43-1)+(5-AH43))*2.5,"")</x:f>
      </x:c>
    </x:row>
    <x:row r="44">
      <x:c r="A44" s="43" t="str">
        <x:v>Original</x:v>
      </x:c>
      <x:c r="B44" s="43" t="str">
        <x:v>CAVE</x:v>
      </x:c>
      <x:c r="C44" s="43" t="n">
        <x:v>93</x:v>
      </x:c>
      <x:c r="D44" s="44" t="n">
        <x:v>6</x:v>
      </x:c>
      <x:c r="E44" s="44" t="n">
        <x:v>5</x:v>
      </x:c>
      <x:c r="F44" s="44" t="n">
        <x:v>5</x:v>
      </x:c>
      <x:c r="G44" s="44" t="n">
        <x:v>4</x:v>
      </x:c>
      <x:c r="H44" s="44" t="n">
        <x:v>3</x:v>
      </x:c>
      <x:c r="I44" s="44" t="n">
        <x:v>6</x:v>
      </x:c>
      <x:c r="J44" s="44" t="n">
        <x:v>5</x:v>
      </x:c>
      <x:c r="K44" s="44" t="n">
        <x:v>6</x:v>
      </x:c>
      <x:c r="L44" s="45" t="n">
        <x:v>1</x:v>
      </x:c>
      <x:c r="M44" s="45" t="n">
        <x:v>0</x:v>
      </x:c>
      <x:c r="N44" s="45" t="n">
        <x:v>3</x:v>
      </x:c>
      <x:c r="O44" s="45" t="n">
        <x:v>3</x:v>
      </x:c>
      <x:c r="P44" s="45" t="n">
        <x:v>0</x:v>
      </x:c>
      <x:c r="Q44" s="45" t="n">
        <x:v>0</x:v>
      </x:c>
      <x:c r="R44" s="46" t="n">
        <x:v>7</x:v>
      </x:c>
      <x:c r="S44" s="46" t="n">
        <x:v>7</x:v>
      </x:c>
      <x:c r="T44" s="46" t="n">
        <x:v>7</x:v>
      </x:c>
      <x:c r="U44" s="46" t="n">
        <x:v>6</x:v>
      </x:c>
      <x:c r="V44" s="46" t="n">
        <x:v>6</x:v>
      </x:c>
      <x:c r="W44" s="46" t="n">
        <x:v>6</x:v>
      </x:c>
      <x:c r="X44" s="46" t="n">
        <x:v>6</x:v>
      </x:c>
      <x:c r="Y44" s="47"/>
      <x:c r="Z44" s="47"/>
      <x:c r="AA44" s="47"/>
      <x:c r="AB44" s="47"/>
      <x:c r="AC44" s="47"/>
      <x:c r="AD44" s="47"/>
      <x:c r="AE44" s="47"/>
      <x:c r="AF44" s="47"/>
      <x:c r="AG44" s="47"/>
      <x:c r="AH44" s="47"/>
      <x:c r="AI44" s="48" t="n">
        <x:f>AVERAGE(D44:K44)</x:f>
        <x:v>5</x:v>
      </x:c>
      <x:c r="AJ44" s="48" t="n">
        <x:f>SUM(L44:Q44)</x:f>
        <x:v>7</x:v>
      </x:c>
      <x:c r="AK44" s="48" t="n">
        <x:f>AVERAGE(R44:X44)</x:f>
        <x:v>6.428571428571429</x:v>
      </x:c>
      <x:c r="AL44" s="48" t="str">
        <x:f>IF(COUNT(Y44:AH44)=10,((Y44-1)+(5-Z44)+(AA44-1)+(5-AB44)+(AC44-1)+(5-AD44)+(AE44-1)+(5-AF44)+(AG44-1)+(5-AH44))*2.5,"")</x:f>
      </x:c>
    </x:row>
    <x:row r="45">
      <x:c r="A45" s="43" t="str">
        <x:v>Original</x:v>
      </x:c>
      <x:c r="B45" s="43" t="str">
        <x:v>CAVE</x:v>
      </x:c>
      <x:c r="C45" s="43" t="n">
        <x:v>94</x:v>
      </x:c>
      <x:c r="D45" s="44" t="n">
        <x:v>6</x:v>
      </x:c>
      <x:c r="E45" s="44" t="n">
        <x:v>5</x:v>
      </x:c>
      <x:c r="F45" s="44" t="n">
        <x:v>6</x:v>
      </x:c>
      <x:c r="G45" s="44" t="n">
        <x:v>6</x:v>
      </x:c>
      <x:c r="H45" s="44" t="n">
        <x:v>3</x:v>
      </x:c>
      <x:c r="I45" s="44" t="n">
        <x:v>6</x:v>
      </x:c>
      <x:c r="J45" s="44" t="n">
        <x:v>6</x:v>
      </x:c>
      <x:c r="K45" s="44" t="n">
        <x:v>6</x:v>
      </x:c>
      <x:c r="L45" s="45" t="n">
        <x:v>0</x:v>
      </x:c>
      <x:c r="M45" s="45" t="n">
        <x:v>1</x:v>
      </x:c>
      <x:c r="N45" s="45" t="n">
        <x:v>1</x:v>
      </x:c>
      <x:c r="O45" s="45" t="n">
        <x:v>1</x:v>
      </x:c>
      <x:c r="P45" s="45" t="n">
        <x:v>0</x:v>
      </x:c>
      <x:c r="Q45" s="45" t="n">
        <x:v>0</x:v>
      </x:c>
      <x:c r="R45" s="46" t="n">
        <x:v>6</x:v>
      </x:c>
      <x:c r="S45" s="46" t="n">
        <x:v>7</x:v>
      </x:c>
      <x:c r="T45" s="46" t="n">
        <x:v>6</x:v>
      </x:c>
      <x:c r="U45" s="46" t="n">
        <x:v>6</x:v>
      </x:c>
      <x:c r="V45" s="46" t="n">
        <x:v>6</x:v>
      </x:c>
      <x:c r="W45" s="46" t="n">
        <x:v>6</x:v>
      </x:c>
      <x:c r="X45" s="46" t="n">
        <x:v>6</x:v>
      </x:c>
      <x:c r="Y45" s="47"/>
      <x:c r="Z45" s="47"/>
      <x:c r="AA45" s="47"/>
      <x:c r="AB45" s="47"/>
      <x:c r="AC45" s="47"/>
      <x:c r="AD45" s="47"/>
      <x:c r="AE45" s="47"/>
      <x:c r="AF45" s="47"/>
      <x:c r="AG45" s="47"/>
      <x:c r="AH45" s="47"/>
      <x:c r="AI45" s="48" t="n">
        <x:f>AVERAGE(D45:K45)</x:f>
        <x:v>5.5</x:v>
      </x:c>
      <x:c r="AJ45" s="48" t="n">
        <x:f>SUM(L45:Q45)</x:f>
        <x:v>3</x:v>
      </x:c>
      <x:c r="AK45" s="48" t="n">
        <x:f>AVERAGE(R45:X45)</x:f>
        <x:v>6.142857142857143</x:v>
      </x:c>
      <x:c r="AL45" s="48" t="str">
        <x:f>IF(COUNT(Y45:AH45)=10,((Y45-1)+(5-Z45)+(AA45-1)+(5-AB45)+(AC45-1)+(5-AD45)+(AE45-1)+(5-AF45)+(AG45-1)+(5-AH45))*2.5,"")</x:f>
      </x:c>
    </x:row>
    <x:row r="46">
      <x:c r="A46" s="43" t="str">
        <x:v>Original</x:v>
      </x:c>
      <x:c r="B46" s="43" t="str">
        <x:v>CAVE</x:v>
      </x:c>
      <x:c r="C46" s="43" t="n">
        <x:v>95</x:v>
      </x:c>
      <x:c r="D46" s="44" t="n">
        <x:v>7</x:v>
      </x:c>
      <x:c r="E46" s="44" t="n">
        <x:v>5</x:v>
      </x:c>
      <x:c r="F46" s="44" t="n">
        <x:v>7</x:v>
      </x:c>
      <x:c r="G46" s="44" t="n">
        <x:v>6</x:v>
      </x:c>
      <x:c r="H46" s="44" t="n">
        <x:v>2</x:v>
      </x:c>
      <x:c r="I46" s="44" t="n">
        <x:v>5</x:v>
      </x:c>
      <x:c r="J46" s="44" t="n">
        <x:v>6</x:v>
      </x:c>
      <x:c r="K46" s="44" t="n">
        <x:v>6</x:v>
      </x:c>
      <x:c r="L46" s="45" t="n">
        <x:v>1</x:v>
      </x:c>
      <x:c r="M46" s="45" t="n">
        <x:v>0</x:v>
      </x:c>
      <x:c r="N46" s="45" t="n">
        <x:v>4</x:v>
      </x:c>
      <x:c r="O46" s="45" t="n">
        <x:v>3</x:v>
      </x:c>
      <x:c r="P46" s="45" t="n">
        <x:v>0</x:v>
      </x:c>
      <x:c r="Q46" s="45" t="n">
        <x:v>0</x:v>
      </x:c>
      <x:c r="R46" s="46" t="n">
        <x:v>5</x:v>
      </x:c>
      <x:c r="S46" s="46" t="n">
        <x:v>7</x:v>
      </x:c>
      <x:c r="T46" s="46" t="n">
        <x:v>7</x:v>
      </x:c>
      <x:c r="U46" s="46" t="n">
        <x:v>6</x:v>
      </x:c>
      <x:c r="V46" s="46" t="n">
        <x:v>3</x:v>
      </x:c>
      <x:c r="W46" s="46" t="n">
        <x:v>5</x:v>
      </x:c>
      <x:c r="X46" s="46" t="n">
        <x:v>6</x:v>
      </x:c>
      <x:c r="Y46" s="47"/>
      <x:c r="Z46" s="47"/>
      <x:c r="AA46" s="47"/>
      <x:c r="AB46" s="47"/>
      <x:c r="AC46" s="47"/>
      <x:c r="AD46" s="47"/>
      <x:c r="AE46" s="47"/>
      <x:c r="AF46" s="47"/>
      <x:c r="AG46" s="47"/>
      <x:c r="AH46" s="47"/>
      <x:c r="AI46" s="48" t="n">
        <x:f>AVERAGE(D46:K46)</x:f>
        <x:v>5.5</x:v>
      </x:c>
      <x:c r="AJ46" s="48" t="n">
        <x:f>SUM(L46:Q46)</x:f>
        <x:v>8</x:v>
      </x:c>
      <x:c r="AK46" s="48" t="n">
        <x:f>AVERAGE(R46:X46)</x:f>
        <x:v>5.571428571428571</x:v>
      </x:c>
      <x:c r="AL46" s="48" t="str">
        <x:f>IF(COUNT(Y46:AH46)=10,((Y46-1)+(5-Z46)+(AA46-1)+(5-AB46)+(AC46-1)+(5-AD46)+(AE46-1)+(5-AF46)+(AG46-1)+(5-AH46))*2.5,"")</x:f>
      </x:c>
    </x:row>
    <x:row r="47">
      <x:c r="A47" s="43" t="str">
        <x:v>Original</x:v>
      </x:c>
      <x:c r="B47" s="43" t="str">
        <x:v>CAVE</x:v>
      </x:c>
      <x:c r="C47" s="43" t="n">
        <x:v>96</x:v>
      </x:c>
      <x:c r="D47" s="44" t="n">
        <x:v>5</x:v>
      </x:c>
      <x:c r="E47" s="44" t="n">
        <x:v>6</x:v>
      </x:c>
      <x:c r="F47" s="44" t="n">
        <x:v>5</x:v>
      </x:c>
      <x:c r="G47" s="44" t="n">
        <x:v>6</x:v>
      </x:c>
      <x:c r="H47" s="44" t="n">
        <x:v>5</x:v>
      </x:c>
      <x:c r="I47" s="44" t="n">
        <x:v>5</x:v>
      </x:c>
      <x:c r="J47" s="44" t="n">
        <x:v>6</x:v>
      </x:c>
      <x:c r="K47" s="44" t="n">
        <x:v>6</x:v>
      </x:c>
      <x:c r="L47" s="45" t="n">
        <x:v>1</x:v>
      </x:c>
      <x:c r="M47" s="45" t="n">
        <x:v>0</x:v>
      </x:c>
      <x:c r="N47" s="45" t="n">
        <x:v>0</x:v>
      </x:c>
      <x:c r="O47" s="45" t="n">
        <x:v>1</x:v>
      </x:c>
      <x:c r="P47" s="45" t="n">
        <x:v>0</x:v>
      </x:c>
      <x:c r="Q47" s="45" t="n">
        <x:v>0</x:v>
      </x:c>
      <x:c r="R47" s="46" t="n">
        <x:v>6</x:v>
      </x:c>
      <x:c r="S47" s="46" t="n">
        <x:v>6</x:v>
      </x:c>
      <x:c r="T47" s="46" t="n">
        <x:v>7</x:v>
      </x:c>
      <x:c r="U47" s="46" t="n">
        <x:v>5</x:v>
      </x:c>
      <x:c r="V47" s="46" t="n">
        <x:v>4</x:v>
      </x:c>
      <x:c r="W47" s="46" t="n">
        <x:v>6</x:v>
      </x:c>
      <x:c r="X47" s="46" t="n">
        <x:v>5</x:v>
      </x:c>
      <x:c r="Y47" s="47"/>
      <x:c r="Z47" s="47"/>
      <x:c r="AA47" s="47"/>
      <x:c r="AB47" s="47"/>
      <x:c r="AC47" s="47"/>
      <x:c r="AD47" s="47"/>
      <x:c r="AE47" s="47"/>
      <x:c r="AF47" s="47"/>
      <x:c r="AG47" s="47"/>
      <x:c r="AH47" s="47"/>
      <x:c r="AI47" s="48" t="n">
        <x:f>AVERAGE(D47:K47)</x:f>
        <x:v>5.5</x:v>
      </x:c>
      <x:c r="AJ47" s="48" t="n">
        <x:f>SUM(L47:Q47)</x:f>
        <x:v>2</x:v>
      </x:c>
      <x:c r="AK47" s="48" t="n">
        <x:f>AVERAGE(R47:X47)</x:f>
        <x:v>5.571428571428571</x:v>
      </x:c>
      <x:c r="AL47" s="48" t="str">
        <x:f>IF(COUNT(Y47:AH47)=10,((Y47-1)+(5-Z47)+(AA47-1)+(5-AB47)+(AC47-1)+(5-AD47)+(AE47-1)+(5-AF47)+(AG47-1)+(5-AH47))*2.5,"")</x:f>
      </x:c>
    </x:row>
    <x:row r="48">
      <x:c r="A48" s="43" t="str">
        <x:v>Original</x:v>
      </x:c>
      <x:c r="B48" s="43" t="str">
        <x:v>CAVE</x:v>
      </x:c>
      <x:c r="C48" s="43" t="n">
        <x:v>97</x:v>
      </x:c>
      <x:c r="D48" s="44" t="n">
        <x:v>6</x:v>
      </x:c>
      <x:c r="E48" s="44" t="n">
        <x:v>5</x:v>
      </x:c>
      <x:c r="F48" s="44" t="n">
        <x:v>6</x:v>
      </x:c>
      <x:c r="G48" s="44" t="n">
        <x:v>6</x:v>
      </x:c>
      <x:c r="H48" s="44" t="n">
        <x:v>2</x:v>
      </x:c>
      <x:c r="I48" s="44" t="n">
        <x:v>7</x:v>
      </x:c>
      <x:c r="J48" s="44" t="n">
        <x:v>6</x:v>
      </x:c>
      <x:c r="K48" s="44" t="n">
        <x:v>6</x:v>
      </x:c>
      <x:c r="L48" s="45" t="n">
        <x:v>0</x:v>
      </x:c>
      <x:c r="M48" s="45" t="n">
        <x:v>0</x:v>
      </x:c>
      <x:c r="N48" s="45" t="n">
        <x:v>0</x:v>
      </x:c>
      <x:c r="O48" s="45" t="n">
        <x:v>3</x:v>
      </x:c>
      <x:c r="P48" s="45" t="n">
        <x:v>0</x:v>
      </x:c>
      <x:c r="Q48" s="45" t="n">
        <x:v>0</x:v>
      </x:c>
      <x:c r="R48" s="46" t="n">
        <x:v>7</x:v>
      </x:c>
      <x:c r="S48" s="46" t="n">
        <x:v>7</x:v>
      </x:c>
      <x:c r="T48" s="46" t="n">
        <x:v>7</x:v>
      </x:c>
      <x:c r="U48" s="46" t="n">
        <x:v>2</x:v>
      </x:c>
      <x:c r="V48" s="46" t="n">
        <x:v>3</x:v>
      </x:c>
      <x:c r="W48" s="46" t="n">
        <x:v>6</x:v>
      </x:c>
      <x:c r="X48" s="46" t="n">
        <x:v>6</x:v>
      </x:c>
      <x:c r="Y48" s="47"/>
      <x:c r="Z48" s="47"/>
      <x:c r="AA48" s="47"/>
      <x:c r="AB48" s="47"/>
      <x:c r="AC48" s="47"/>
      <x:c r="AD48" s="47"/>
      <x:c r="AE48" s="47"/>
      <x:c r="AF48" s="47"/>
      <x:c r="AG48" s="47"/>
      <x:c r="AH48" s="47"/>
      <x:c r="AI48" s="48" t="n">
        <x:f>AVERAGE(D48:K48)</x:f>
        <x:v>5.5</x:v>
      </x:c>
      <x:c r="AJ48" s="48" t="n">
        <x:f>SUM(L48:Q48)</x:f>
        <x:v>3</x:v>
      </x:c>
      <x:c r="AK48" s="48" t="n">
        <x:f>AVERAGE(R48:X48)</x:f>
        <x:v>5.428571428571429</x:v>
      </x:c>
      <x:c r="AL48" s="48" t="str">
        <x:f>IF(COUNT(Y48:AH48)=10,((Y48-1)+(5-Z48)+(AA48-1)+(5-AB48)+(AC48-1)+(5-AD48)+(AE48-1)+(5-AF48)+(AG48-1)+(5-AH48))*2.5,"")</x:f>
      </x:c>
    </x:row>
    <x:row r="49">
      <x:c r="A49" s="43" t="str">
        <x:v>Original</x:v>
      </x:c>
      <x:c r="B49" s="43" t="str">
        <x:v>CAVE</x:v>
      </x:c>
      <x:c r="C49" s="43" t="n">
        <x:v>98</x:v>
      </x:c>
      <x:c r="D49" s="44" t="n">
        <x:v>6</x:v>
      </x:c>
      <x:c r="E49" s="44" t="n">
        <x:v>6</x:v>
      </x:c>
      <x:c r="F49" s="44" t="n">
        <x:v>6</x:v>
      </x:c>
      <x:c r="G49" s="44" t="n">
        <x:v>7</x:v>
      </x:c>
      <x:c r="H49" s="44" t="n">
        <x:v>2</x:v>
      </x:c>
      <x:c r="I49" s="44" t="n">
        <x:v>6</x:v>
      </x:c>
      <x:c r="J49" s="44" t="n">
        <x:v>7</x:v>
      </x:c>
      <x:c r="K49" s="44" t="n">
        <x:v>6</x:v>
      </x:c>
      <x:c r="L49" s="45" t="n">
        <x:v>1</x:v>
      </x:c>
      <x:c r="M49" s="45" t="n">
        <x:v>0</x:v>
      </x:c>
      <x:c r="N49" s="45" t="n">
        <x:v>0</x:v>
      </x:c>
      <x:c r="O49" s="45" t="n">
        <x:v>1</x:v>
      </x:c>
      <x:c r="P49" s="45" t="n">
        <x:v>0</x:v>
      </x:c>
      <x:c r="Q49" s="45" t="n">
        <x:v>0</x:v>
      </x:c>
      <x:c r="R49" s="46" t="n">
        <x:v>6</x:v>
      </x:c>
      <x:c r="S49" s="46" t="n">
        <x:v>6</x:v>
      </x:c>
      <x:c r="T49" s="46" t="n">
        <x:v>6</x:v>
      </x:c>
      <x:c r="U49" s="46" t="n">
        <x:v>6</x:v>
      </x:c>
      <x:c r="V49" s="46" t="n">
        <x:v>6</x:v>
      </x:c>
      <x:c r="W49" s="46" t="n">
        <x:v>6</x:v>
      </x:c>
      <x:c r="X49" s="46" t="n">
        <x:v>7</x:v>
      </x:c>
      <x:c r="Y49" s="47"/>
      <x:c r="Z49" s="47"/>
      <x:c r="AA49" s="47"/>
      <x:c r="AB49" s="47"/>
      <x:c r="AC49" s="47"/>
      <x:c r="AD49" s="47"/>
      <x:c r="AE49" s="47"/>
      <x:c r="AF49" s="47"/>
      <x:c r="AG49" s="47"/>
      <x:c r="AH49" s="47"/>
      <x:c r="AI49" s="48" t="n">
        <x:f>AVERAGE(D49:K49)</x:f>
        <x:v>5.75</x:v>
      </x:c>
      <x:c r="AJ49" s="48" t="n">
        <x:f>SUM(L49:Q49)</x:f>
        <x:v>2</x:v>
      </x:c>
      <x:c r="AK49" s="48" t="n">
        <x:f>AVERAGE(R49:X49)</x:f>
        <x:v>6.142857142857143</x:v>
      </x:c>
      <x:c r="AL49" s="48" t="str">
        <x:f>IF(COUNT(Y49:AH49)=10,((Y49-1)+(5-Z49)+(AA49-1)+(5-AB49)+(AC49-1)+(5-AD49)+(AE49-1)+(5-AF49)+(AG49-1)+(5-AH49))*2.5,"")</x:f>
      </x:c>
    </x:row>
    <x:row r="50">
      <x:c r="A50" s="43" t="str">
        <x:v>Original</x:v>
      </x:c>
      <x:c r="B50" s="43" t="str">
        <x:v>CAVE</x:v>
      </x:c>
      <x:c r="C50" s="43" t="n">
        <x:v>99</x:v>
      </x:c>
      <x:c r="D50" s="44" t="n">
        <x:v>7</x:v>
      </x:c>
      <x:c r="E50" s="44" t="n">
        <x:v>6</x:v>
      </x:c>
      <x:c r="F50" s="44" t="n">
        <x:v>7</x:v>
      </x:c>
      <x:c r="G50" s="44" t="n">
        <x:v>7</x:v>
      </x:c>
      <x:c r="H50" s="44" t="n">
        <x:v>6</x:v>
      </x:c>
      <x:c r="I50" s="44" t="n">
        <x:v>6</x:v>
      </x:c>
      <x:c r="J50" s="44" t="n">
        <x:v>5</x:v>
      </x:c>
      <x:c r="K50" s="44" t="n">
        <x:v>6</x:v>
      </x:c>
      <x:c r="L50" s="45" t="n">
        <x:v>1</x:v>
      </x:c>
      <x:c r="M50" s="45" t="n">
        <x:v>0</x:v>
      </x:c>
      <x:c r="N50" s="45" t="n">
        <x:v>1</x:v>
      </x:c>
      <x:c r="O50" s="45" t="n">
        <x:v>1</x:v>
      </x:c>
      <x:c r="P50" s="45" t="n">
        <x:v>0</x:v>
      </x:c>
      <x:c r="Q50" s="45" t="n">
        <x:v>0</x:v>
      </x:c>
      <x:c r="R50" s="46" t="n">
        <x:v>7</x:v>
      </x:c>
      <x:c r="S50" s="46" t="n">
        <x:v>7</x:v>
      </x:c>
      <x:c r="T50" s="46" t="n">
        <x:v>7</x:v>
      </x:c>
      <x:c r="U50" s="46" t="n">
        <x:v>7</x:v>
      </x:c>
      <x:c r="V50" s="46" t="n">
        <x:v>6</x:v>
      </x:c>
      <x:c r="W50" s="46" t="n">
        <x:v>7</x:v>
      </x:c>
      <x:c r="X50" s="46" t="n">
        <x:v>6</x:v>
      </x:c>
      <x:c r="Y50" s="47"/>
      <x:c r="Z50" s="47"/>
      <x:c r="AA50" s="47"/>
      <x:c r="AB50" s="47"/>
      <x:c r="AC50" s="47"/>
      <x:c r="AD50" s="47"/>
      <x:c r="AE50" s="47"/>
      <x:c r="AF50" s="47"/>
      <x:c r="AG50" s="47"/>
      <x:c r="AH50" s="47"/>
      <x:c r="AI50" s="48" t="n">
        <x:f>AVERAGE(D50:K50)</x:f>
        <x:v>6.25</x:v>
      </x:c>
      <x:c r="AJ50" s="48" t="n">
        <x:f>SUM(L50:Q50)</x:f>
        <x:v>3</x:v>
      </x:c>
      <x:c r="AK50" s="48" t="n">
        <x:f>AVERAGE(R50:X50)</x:f>
        <x:v>6.714285714285714</x:v>
      </x:c>
      <x:c r="AL50" s="48" t="str">
        <x:f>IF(COUNT(Y50:AH50)=10,((Y50-1)+(5-Z50)+(AA50-1)+(5-AB50)+(AC50-1)+(5-AD50)+(AE50-1)+(5-AF50)+(AG50-1)+(5-AH50))*2.5,"")</x:f>
      </x:c>
    </x:row>
    <x:row r="51">
      <x:c r="A51" s="43" t="str">
        <x:v>Original</x:v>
      </x:c>
      <x:c r="B51" s="43" t="str">
        <x:v>CAVE</x:v>
      </x:c>
      <x:c r="C51" s="43" t="n">
        <x:v>100</x:v>
      </x:c>
      <x:c r="D51" s="44" t="n">
        <x:v>6</x:v>
      </x:c>
      <x:c r="E51" s="44" t="n">
        <x:v>6</x:v>
      </x:c>
      <x:c r="F51" s="44" t="n">
        <x:v>6</x:v>
      </x:c>
      <x:c r="G51" s="44" t="n">
        <x:v>6</x:v>
      </x:c>
      <x:c r="H51" s="44" t="n">
        <x:v>5</x:v>
      </x:c>
      <x:c r="I51" s="44" t="n">
        <x:v>6</x:v>
      </x:c>
      <x:c r="J51" s="44" t="n">
        <x:v>6</x:v>
      </x:c>
      <x:c r="K51" s="44" t="n">
        <x:v>6</x:v>
      </x:c>
      <x:c r="L51" s="45" t="n">
        <x:v>1</x:v>
      </x:c>
      <x:c r="M51" s="45" t="n">
        <x:v>0</x:v>
      </x:c>
      <x:c r="N51" s="45" t="n">
        <x:v>1</x:v>
      </x:c>
      <x:c r="O51" s="45" t="n">
        <x:v>1</x:v>
      </x:c>
      <x:c r="P51" s="45" t="n">
        <x:v>0</x:v>
      </x:c>
      <x:c r="Q51" s="45" t="n">
        <x:v>0</x:v>
      </x:c>
      <x:c r="R51" s="46" t="n">
        <x:v>6</x:v>
      </x:c>
      <x:c r="S51" s="46" t="n">
        <x:v>6</x:v>
      </x:c>
      <x:c r="T51" s="46" t="n">
        <x:v>6</x:v>
      </x:c>
      <x:c r="U51" s="46" t="n">
        <x:v>5</x:v>
      </x:c>
      <x:c r="V51" s="46" t="n">
        <x:v>5</x:v>
      </x:c>
      <x:c r="W51" s="46" t="n">
        <x:v>6</x:v>
      </x:c>
      <x:c r="X51" s="46" t="n">
        <x:v>6</x:v>
      </x:c>
      <x:c r="Y51" s="47"/>
      <x:c r="Z51" s="47"/>
      <x:c r="AA51" s="47"/>
      <x:c r="AB51" s="47"/>
      <x:c r="AC51" s="47"/>
      <x:c r="AD51" s="47"/>
      <x:c r="AE51" s="47"/>
      <x:c r="AF51" s="47"/>
      <x:c r="AG51" s="47"/>
      <x:c r="AH51" s="47"/>
      <x:c r="AI51" s="48" t="n">
        <x:f>AVERAGE(D51:K51)</x:f>
        <x:v>5.875</x:v>
      </x:c>
      <x:c r="AJ51" s="48" t="n">
        <x:f>SUM(L51:Q51)</x:f>
        <x:v>3</x:v>
      </x:c>
      <x:c r="AK51" s="48" t="n">
        <x:f>AVERAGE(R51:X51)</x:f>
        <x:v>5.714285714285714</x:v>
      </x:c>
      <x:c r="AL51" s="48" t="str">
        <x:f>IF(COUNT(Y51:AH51)=10,((Y51-1)+(5-Z51)+(AA51-1)+(5-AB51)+(AC51-1)+(5-AD51)+(AE51-1)+(5-AF51)+(AG51-1)+(5-AH51))*2.5,"")</x:f>
      </x:c>
    </x:row>
    <x:row r="52">
      <x:c r="A52" s="43" t="str">
        <x:v>Original</x:v>
      </x:c>
      <x:c r="B52" s="43" t="str">
        <x:v>CAVE</x:v>
      </x:c>
      <x:c r="C52" s="43" t="n">
        <x:v>101</x:v>
      </x:c>
      <x:c r="D52" s="44" t="n">
        <x:v>6</x:v>
      </x:c>
      <x:c r="E52" s="44" t="n">
        <x:v>5</x:v>
      </x:c>
      <x:c r="F52" s="44" t="n">
        <x:v>5</x:v>
      </x:c>
      <x:c r="G52" s="44" t="n">
        <x:v>6</x:v>
      </x:c>
      <x:c r="H52" s="44" t="n">
        <x:v>4</x:v>
      </x:c>
      <x:c r="I52" s="44" t="n">
        <x:v>6</x:v>
      </x:c>
      <x:c r="J52" s="44" t="n">
        <x:v>6</x:v>
      </x:c>
      <x:c r="K52" s="44" t="n">
        <x:v>6</x:v>
      </x:c>
      <x:c r="L52" s="45" t="n">
        <x:v>0</x:v>
      </x:c>
      <x:c r="M52" s="45" t="n">
        <x:v>0</x:v>
      </x:c>
      <x:c r="N52" s="45" t="n">
        <x:v>1</x:v>
      </x:c>
      <x:c r="O52" s="45" t="n">
        <x:v>1</x:v>
      </x:c>
      <x:c r="P52" s="45" t="n">
        <x:v>0</x:v>
      </x:c>
      <x:c r="Q52" s="45" t="n">
        <x:v>0</x:v>
      </x:c>
      <x:c r="R52" s="46" t="n">
        <x:v>6</x:v>
      </x:c>
      <x:c r="S52" s="46" t="n">
        <x:v>6</x:v>
      </x:c>
      <x:c r="T52" s="46" t="n">
        <x:v>6</x:v>
      </x:c>
      <x:c r="U52" s="46" t="n">
        <x:v>5</x:v>
      </x:c>
      <x:c r="V52" s="46" t="n">
        <x:v>6</x:v>
      </x:c>
      <x:c r="W52" s="46" t="n">
        <x:v>5</x:v>
      </x:c>
      <x:c r="X52" s="46" t="n">
        <x:v>6</x:v>
      </x:c>
      <x:c r="Y52" s="47"/>
      <x:c r="Z52" s="47"/>
      <x:c r="AA52" s="47"/>
      <x:c r="AB52" s="47"/>
      <x:c r="AC52" s="47"/>
      <x:c r="AD52" s="47"/>
      <x:c r="AE52" s="47"/>
      <x:c r="AF52" s="47"/>
      <x:c r="AG52" s="47"/>
      <x:c r="AH52" s="47"/>
      <x:c r="AI52" s="48" t="n">
        <x:f>AVERAGE(D52:K52)</x:f>
        <x:v>5.5</x:v>
      </x:c>
      <x:c r="AJ52" s="48" t="n">
        <x:f>SUM(L52:Q52)</x:f>
        <x:v>2</x:v>
      </x:c>
      <x:c r="AK52" s="48" t="n">
        <x:f>AVERAGE(R52:X52)</x:f>
        <x:v>5.714285714285714</x:v>
      </x:c>
      <x:c r="AL52" s="48" t="str">
        <x:f>IF(COUNT(Y52:AH52)=10,((Y52-1)+(5-Z52)+(AA52-1)+(5-AB52)+(AC52-1)+(5-AD52)+(AE52-1)+(5-AF52)+(AG52-1)+(5-AH52))*2.5,"")</x:f>
      </x:c>
    </x:row>
    <x:row r="53">
      <x:c r="A53" s="43" t="str">
        <x:v>Original</x:v>
      </x:c>
      <x:c r="B53" s="43" t="str">
        <x:v>CAVE</x:v>
      </x:c>
      <x:c r="C53" s="43" t="n">
        <x:v>102</x:v>
      </x:c>
      <x:c r="D53" s="44" t="n">
        <x:v>7</x:v>
      </x:c>
      <x:c r="E53" s="44" t="n">
        <x:v>6</x:v>
      </x:c>
      <x:c r="F53" s="44" t="n">
        <x:v>5</x:v>
      </x:c>
      <x:c r="G53" s="44" t="n">
        <x:v>6</x:v>
      </x:c>
      <x:c r="H53" s="44" t="n">
        <x:v>2</x:v>
      </x:c>
      <x:c r="I53" s="44" t="n">
        <x:v>5</x:v>
      </x:c>
      <x:c r="J53" s="44" t="n">
        <x:v>2</x:v>
      </x:c>
      <x:c r="K53" s="44" t="n">
        <x:v>6</x:v>
      </x:c>
      <x:c r="L53" s="45" t="n">
        <x:v>3</x:v>
      </x:c>
      <x:c r="M53" s="45" t="n">
        <x:v>1</x:v>
      </x:c>
      <x:c r="N53" s="45" t="n">
        <x:v>1</x:v>
      </x:c>
      <x:c r="O53" s="45" t="n">
        <x:v>1</x:v>
      </x:c>
      <x:c r="P53" s="45" t="n">
        <x:v>0</x:v>
      </x:c>
      <x:c r="Q53" s="45" t="n">
        <x:v>0</x:v>
      </x:c>
      <x:c r="R53" s="46" t="n">
        <x:v>7</x:v>
      </x:c>
      <x:c r="S53" s="46" t="n">
        <x:v>7</x:v>
      </x:c>
      <x:c r="T53" s="46" t="n">
        <x:v>7</x:v>
      </x:c>
      <x:c r="U53" s="46" t="n">
        <x:v>7</x:v>
      </x:c>
      <x:c r="V53" s="46" t="n">
        <x:v>6</x:v>
      </x:c>
      <x:c r="W53" s="46" t="n">
        <x:v>7</x:v>
      </x:c>
      <x:c r="X53" s="46" t="n">
        <x:v>6</x:v>
      </x:c>
      <x:c r="Y53" s="47"/>
      <x:c r="Z53" s="47"/>
      <x:c r="AA53" s="47"/>
      <x:c r="AB53" s="47"/>
      <x:c r="AC53" s="47"/>
      <x:c r="AD53" s="47"/>
      <x:c r="AE53" s="47"/>
      <x:c r="AF53" s="47"/>
      <x:c r="AG53" s="47"/>
      <x:c r="AH53" s="47"/>
      <x:c r="AI53" s="48" t="n">
        <x:f>AVERAGE(D53:K53)</x:f>
        <x:v>4.875</x:v>
      </x:c>
      <x:c r="AJ53" s="48" t="n">
        <x:f>SUM(L53:Q53)</x:f>
        <x:v>6</x:v>
      </x:c>
      <x:c r="AK53" s="48" t="n">
        <x:f>AVERAGE(R53:X53)</x:f>
        <x:v>6.714285714285714</x:v>
      </x:c>
      <x:c r="AL53" s="48" t="str">
        <x:f>IF(COUNT(Y53:AH53)=10,((Y53-1)+(5-Z53)+(AA53-1)+(5-AB53)+(AC53-1)+(5-AD53)+(AE53-1)+(5-AF53)+(AG53-1)+(5-AH53))*2.5,"")</x:f>
      </x:c>
    </x:row>
    <x:row r="54">
      <x:c r="A54" s="43" t="str">
        <x:v>Original</x:v>
      </x:c>
      <x:c r="B54" s="43" t="str">
        <x:v>CAVE</x:v>
      </x:c>
      <x:c r="C54" s="43" t="n">
        <x:v>103</x:v>
      </x:c>
      <x:c r="D54" s="44" t="n">
        <x:v>5</x:v>
      </x:c>
      <x:c r="E54" s="44" t="n">
        <x:v>5</x:v>
      </x:c>
      <x:c r="F54" s="44" t="n">
        <x:v>6</x:v>
      </x:c>
      <x:c r="G54" s="44" t="n">
        <x:v>3</x:v>
      </x:c>
      <x:c r="H54" s="44" t="n">
        <x:v>5</x:v>
      </x:c>
      <x:c r="I54" s="44" t="n">
        <x:v>7</x:v>
      </x:c>
      <x:c r="J54" s="44" t="n">
        <x:v>6</x:v>
      </x:c>
      <x:c r="K54" s="44" t="n">
        <x:v>5</x:v>
      </x:c>
      <x:c r="L54" s="45" t="n">
        <x:v>1</x:v>
      </x:c>
      <x:c r="M54" s="45" t="n">
        <x:v>1</x:v>
      </x:c>
      <x:c r="N54" s="45" t="n">
        <x:v>3</x:v>
      </x:c>
      <x:c r="O54" s="45" t="n">
        <x:v>4</x:v>
      </x:c>
      <x:c r="P54" s="45" t="n">
        <x:v>0</x:v>
      </x:c>
      <x:c r="Q54" s="45" t="n">
        <x:v>0</x:v>
      </x:c>
      <x:c r="R54" s="46" t="n">
        <x:v>7</x:v>
      </x:c>
      <x:c r="S54" s="46" t="n">
        <x:v>7</x:v>
      </x:c>
      <x:c r="T54" s="46" t="n">
        <x:v>7</x:v>
      </x:c>
      <x:c r="U54" s="46" t="n">
        <x:v>7</x:v>
      </x:c>
      <x:c r="V54" s="46" t="n">
        <x:v>6</x:v>
      </x:c>
      <x:c r="W54" s="46" t="n">
        <x:v>6</x:v>
      </x:c>
      <x:c r="X54" s="46" t="n">
        <x:v>6</x:v>
      </x:c>
      <x:c r="Y54" s="47"/>
      <x:c r="Z54" s="47"/>
      <x:c r="AA54" s="47"/>
      <x:c r="AB54" s="47"/>
      <x:c r="AC54" s="47"/>
      <x:c r="AD54" s="47"/>
      <x:c r="AE54" s="47"/>
      <x:c r="AF54" s="47"/>
      <x:c r="AG54" s="47"/>
      <x:c r="AH54" s="47"/>
      <x:c r="AI54" s="48" t="n">
        <x:f>AVERAGE(D54:K54)</x:f>
        <x:v>5.25</x:v>
      </x:c>
      <x:c r="AJ54" s="48" t="n">
        <x:f>SUM(L54:Q54)</x:f>
        <x:v>9</x:v>
      </x:c>
      <x:c r="AK54" s="48" t="n">
        <x:f>AVERAGE(R54:X54)</x:f>
        <x:v>6.571428571428571</x:v>
      </x:c>
      <x:c r="AL54" s="48" t="str">
        <x:f>IF(COUNT(Y54:AH54)=10,((Y54-1)+(5-Z54)+(AA54-1)+(5-AB54)+(AC54-1)+(5-AD54)+(AE54-1)+(5-AF54)+(AG54-1)+(5-AH54))*2.5,"")</x:f>
      </x:c>
    </x:row>
    <x:row r="55">
      <x:c r="A55" s="43" t="str">
        <x:v>Original</x:v>
      </x:c>
      <x:c r="B55" s="43" t="str">
        <x:v>CAVE</x:v>
      </x:c>
      <x:c r="C55" s="43" t="n">
        <x:v>104</x:v>
      </x:c>
      <x:c r="D55" s="44" t="n">
        <x:v>6</x:v>
      </x:c>
      <x:c r="E55" s="44" t="n">
        <x:v>5</x:v>
      </x:c>
      <x:c r="F55" s="44" t="n">
        <x:v>6</x:v>
      </x:c>
      <x:c r="G55" s="44" t="n">
        <x:v>5</x:v>
      </x:c>
      <x:c r="H55" s="44" t="n">
        <x:v>3</x:v>
      </x:c>
      <x:c r="I55" s="44" t="n">
        <x:v>6</x:v>
      </x:c>
      <x:c r="J55" s="44" t="n">
        <x:v>5</x:v>
      </x:c>
      <x:c r="K55" s="44" t="n">
        <x:v>5</x:v>
      </x:c>
      <x:c r="L55" s="45" t="n">
        <x:v>1</x:v>
      </x:c>
      <x:c r="M55" s="45" t="n">
        <x:v>1</x:v>
      </x:c>
      <x:c r="N55" s="45" t="n">
        <x:v>3</x:v>
      </x:c>
      <x:c r="O55" s="45" t="n">
        <x:v>1</x:v>
      </x:c>
      <x:c r="P55" s="45" t="n">
        <x:v>0</x:v>
      </x:c>
      <x:c r="Q55" s="45" t="n">
        <x:v>0</x:v>
      </x:c>
      <x:c r="R55" s="46" t="n">
        <x:v>6</x:v>
      </x:c>
      <x:c r="S55" s="46" t="n">
        <x:v>7</x:v>
      </x:c>
      <x:c r="T55" s="46" t="n">
        <x:v>7</x:v>
      </x:c>
      <x:c r="U55" s="46" t="n">
        <x:v>6</x:v>
      </x:c>
      <x:c r="V55" s="46" t="n">
        <x:v>7</x:v>
      </x:c>
      <x:c r="W55" s="46" t="n">
        <x:v>6</x:v>
      </x:c>
      <x:c r="X55" s="46" t="n">
        <x:v>7</x:v>
      </x:c>
      <x:c r="Y55" s="47"/>
      <x:c r="Z55" s="47"/>
      <x:c r="AA55" s="47"/>
      <x:c r="AB55" s="47"/>
      <x:c r="AC55" s="47"/>
      <x:c r="AD55" s="47"/>
      <x:c r="AE55" s="47"/>
      <x:c r="AF55" s="47"/>
      <x:c r="AG55" s="47"/>
      <x:c r="AH55" s="47"/>
      <x:c r="AI55" s="48" t="n">
        <x:f>AVERAGE(D55:K55)</x:f>
        <x:v>5.125</x:v>
      </x:c>
      <x:c r="AJ55" s="48" t="n">
        <x:f>SUM(L55:Q55)</x:f>
        <x:v>6</x:v>
      </x:c>
      <x:c r="AK55" s="48" t="n">
        <x:f>AVERAGE(R55:X55)</x:f>
        <x:v>6.571428571428571</x:v>
      </x:c>
      <x:c r="AL55" s="48" t="str">
        <x:f>IF(COUNT(Y55:AH55)=10,((Y55-1)+(5-Z55)+(AA55-1)+(5-AB55)+(AC55-1)+(5-AD55)+(AE55-1)+(5-AF55)+(AG55-1)+(5-AH55))*2.5,"")</x:f>
      </x:c>
    </x:row>
    <x:row r="56">
      <x:c r="A56" s="43" t="str">
        <x:v>User</x:v>
      </x:c>
      <x:c r="B56" s="43" t="str">
        <x:v>iCARE</x:v>
      </x:c>
      <x:c r="C56" s="43" t="str">
        <x:v>P001</x:v>
      </x:c>
      <x:c r="D56" s="44" t="n">
        <x:v>6</x:v>
      </x:c>
      <x:c r="E56" s="44" t="n">
        <x:v>5</x:v>
      </x:c>
      <x:c r="F56" s="44" t="n">
        <x:v>4</x:v>
      </x:c>
      <x:c r="G56" s="44" t="n">
        <x:v>4</x:v>
      </x:c>
      <x:c r="H56" s="44" t="n">
        <x:v>4</x:v>
      </x:c>
      <x:c r="I56" s="44" t="n">
        <x:v>4</x:v>
      </x:c>
      <x:c r="J56" s="44" t="n">
        <x:v>2</x:v>
      </x:c>
      <x:c r="K56" s="44" t="n">
        <x:v>2</x:v>
      </x:c>
      <x:c r="L56" s="45" t="n">
        <x:v>0</x:v>
      </x:c>
      <x:c r="M56" s="45" t="n">
        <x:v>0</x:v>
      </x:c>
      <x:c r="N56" s="45" t="n">
        <x:v>0</x:v>
      </x:c>
      <x:c r="O56" s="45" t="n">
        <x:v>0</x:v>
      </x:c>
      <x:c r="P56" s="45" t="n">
        <x:v>0</x:v>
      </x:c>
      <x:c r="Q56" s="45" t="n">
        <x:v>0</x:v>
      </x:c>
      <x:c r="R56" s="46" t="n">
        <x:v>6</x:v>
      </x:c>
      <x:c r="S56" s="46" t="n">
        <x:v>6</x:v>
      </x:c>
      <x:c r="T56" s="46" t="n">
        <x:v>6</x:v>
      </x:c>
      <x:c r="U56" s="46" t="n">
        <x:v>5</x:v>
      </x:c>
      <x:c r="V56" s="46" t="n">
        <x:v>6</x:v>
      </x:c>
      <x:c r="W56" s="46" t="n">
        <x:v>6</x:v>
      </x:c>
      <x:c r="X56" s="46" t="n">
        <x:v>4</x:v>
      </x:c>
      <x:c r="Y56" s="47" t="n">
        <x:v>3</x:v>
      </x:c>
      <x:c r="Z56" s="47" t="n">
        <x:v>2</x:v>
      </x:c>
      <x:c r="AA56" s="47" t="n">
        <x:v>3</x:v>
      </x:c>
      <x:c r="AB56" s="47" t="n">
        <x:v>2</x:v>
      </x:c>
      <x:c r="AC56" s="47" t="n">
        <x:v>4</x:v>
      </x:c>
      <x:c r="AD56" s="47" t="n">
        <x:v>3</x:v>
      </x:c>
      <x:c r="AE56" s="47" t="n">
        <x:v>4</x:v>
      </x:c>
      <x:c r="AF56" s="47" t="n">
        <x:v>2</x:v>
      </x:c>
      <x:c r="AG56" s="47" t="n">
        <x:v>4</x:v>
      </x:c>
      <x:c r="AH56" s="47" t="n">
        <x:v>2</x:v>
      </x:c>
      <x:c r="AI56" s="48" t="n">
        <x:f>AVERAGE(D56:K56)</x:f>
        <x:v>3.875</x:v>
      </x:c>
      <x:c r="AJ56" s="48" t="n">
        <x:f>SUM(L56:Q56)</x:f>
        <x:v>0</x:v>
      </x:c>
      <x:c r="AK56" s="48" t="n">
        <x:f>AVERAGE(R56:X56)</x:f>
        <x:v>5.571428571428571</x:v>
      </x:c>
      <x:c r="AL56" s="48" t="n">
        <x:f>IF(COUNT(Y56:AH56)=10,((Y56-1)+(5-Z56)+(AA56-1)+(5-AB56)+(AC56-1)+(5-AD56)+(AE56-1)+(5-AF56)+(AG56-1)+(5-AH56))*2.5,"")</x:f>
        <x:v>67.5</x:v>
      </x:c>
    </x:row>
    <x:row r="57">
      <x:c r="A57" s="43" t="str">
        <x:v>User</x:v>
      </x:c>
      <x:c r="B57" s="43" t="str">
        <x:v>iCARE</x:v>
      </x:c>
      <x:c r="C57" s="43" t="str">
        <x:v>P002</x:v>
      </x:c>
      <x:c r="D57" s="44" t="n">
        <x:v>6</x:v>
      </x:c>
      <x:c r="E57" s="44" t="n">
        <x:v>5</x:v>
      </x:c>
      <x:c r="F57" s="44" t="n">
        <x:v>4</x:v>
      </x:c>
      <x:c r="G57" s="44" t="n">
        <x:v>5</x:v>
      </x:c>
      <x:c r="H57" s="44" t="n">
        <x:v>2</x:v>
      </x:c>
      <x:c r="I57" s="44" t="n">
        <x:v>7</x:v>
      </x:c>
      <x:c r="J57" s="44" t="n">
        <x:v>4</x:v>
      </x:c>
      <x:c r="K57" s="44" t="n">
        <x:v>6</x:v>
      </x:c>
      <x:c r="L57" s="45" t="n">
        <x:v>0</x:v>
      </x:c>
      <x:c r="M57" s="45" t="n">
        <x:v>0</x:v>
      </x:c>
      <x:c r="N57" s="45" t="n">
        <x:v>0</x:v>
      </x:c>
      <x:c r="O57" s="45" t="n">
        <x:v>1</x:v>
      </x:c>
      <x:c r="P57" s="45" t="n">
        <x:v>1</x:v>
      </x:c>
      <x:c r="Q57" s="45" t="n">
        <x:v>2</x:v>
      </x:c>
      <x:c r="R57" s="46" t="n">
        <x:v>4</x:v>
      </x:c>
      <x:c r="S57" s="46" t="n">
        <x:v>7</x:v>
      </x:c>
      <x:c r="T57" s="46" t="n">
        <x:v>7</x:v>
      </x:c>
      <x:c r="U57" s="46" t="n">
        <x:v>6</x:v>
      </x:c>
      <x:c r="V57" s="46" t="n">
        <x:v>4</x:v>
      </x:c>
      <x:c r="W57" s="46" t="n">
        <x:v>6</x:v>
      </x:c>
      <x:c r="X57" s="46" t="n">
        <x:v>6</x:v>
      </x:c>
      <x:c r="Y57" s="47" t="n">
        <x:v>4</x:v>
      </x:c>
      <x:c r="Z57" s="47" t="n">
        <x:v>3</x:v>
      </x:c>
      <x:c r="AA57" s="47" t="n">
        <x:v>4</x:v>
      </x:c>
      <x:c r="AB57" s="47" t="n">
        <x:v>1</x:v>
      </x:c>
      <x:c r="AC57" s="47" t="n">
        <x:v>4</x:v>
      </x:c>
      <x:c r="AD57" s="47" t="n">
        <x:v>2</x:v>
      </x:c>
      <x:c r="AE57" s="47" t="n">
        <x:v>3</x:v>
      </x:c>
      <x:c r="AF57" s="47" t="n">
        <x:v>2</x:v>
      </x:c>
      <x:c r="AG57" s="47" t="n">
        <x:v>4</x:v>
      </x:c>
      <x:c r="AH57" s="47" t="n">
        <x:v>1</x:v>
      </x:c>
      <x:c r="AI57" s="48" t="n">
        <x:f>AVERAGE(D57:K57)</x:f>
        <x:v>4.875</x:v>
      </x:c>
      <x:c r="AJ57" s="48" t="n">
        <x:f>SUM(L57:Q57)</x:f>
        <x:v>4</x:v>
      </x:c>
      <x:c r="AK57" s="48" t="n">
        <x:f>AVERAGE(R57:X57)</x:f>
        <x:v>5.714285714285714</x:v>
      </x:c>
      <x:c r="AL57" s="48" t="n">
        <x:f>IF(COUNT(Y57:AH57)=10,((Y57-1)+(5-Z57)+(AA57-1)+(5-AB57)+(AC57-1)+(5-AD57)+(AE57-1)+(5-AF57)+(AG57-1)+(5-AH57))*2.5,"")</x:f>
        <x:v>75</x:v>
      </x:c>
    </x:row>
    <x:row r="58">
      <x:c r="A58" s="43" t="str">
        <x:v>User</x:v>
      </x:c>
      <x:c r="B58" s="43" t="str">
        <x:v>iCARE</x:v>
      </x:c>
      <x:c r="C58" s="43" t="str">
        <x:v>P003</x:v>
      </x:c>
      <x:c r="D58" s="44" t="n">
        <x:v>7</x:v>
      </x:c>
      <x:c r="E58" s="44" t="n">
        <x:v>6</x:v>
      </x:c>
      <x:c r="F58" s="44" t="n">
        <x:v>7</x:v>
      </x:c>
      <x:c r="G58" s="44" t="n">
        <x:v>6</x:v>
      </x:c>
      <x:c r="H58" s="44" t="n">
        <x:v>2</x:v>
      </x:c>
      <x:c r="I58" s="44" t="n">
        <x:v>4</x:v>
      </x:c>
      <x:c r="J58" s="44" t="n">
        <x:v>6</x:v>
      </x:c>
      <x:c r="K58" s="44" t="n">
        <x:v>6</x:v>
      </x:c>
      <x:c r="L58" s="45" t="n">
        <x:v>0</x:v>
      </x:c>
      <x:c r="M58" s="45" t="n">
        <x:v>0</x:v>
      </x:c>
      <x:c r="N58" s="45" t="n">
        <x:v>0</x:v>
      </x:c>
      <x:c r="O58" s="45" t="n">
        <x:v>0</x:v>
      </x:c>
      <x:c r="P58" s="45" t="n">
        <x:v>0</x:v>
      </x:c>
      <x:c r="Q58" s="45" t="n">
        <x:v>0</x:v>
      </x:c>
      <x:c r="R58" s="46" t="n">
        <x:v>6</x:v>
      </x:c>
      <x:c r="S58" s="46" t="n">
        <x:v>7</x:v>
      </x:c>
      <x:c r="T58" s="46" t="n">
        <x:v>7</x:v>
      </x:c>
      <x:c r="U58" s="46" t="n">
        <x:v>7</x:v>
      </x:c>
      <x:c r="V58" s="46" t="n">
        <x:v>4</x:v>
      </x:c>
      <x:c r="W58" s="46" t="n">
        <x:v>6</x:v>
      </x:c>
      <x:c r="X58" s="46" t="n">
        <x:v>7</x:v>
      </x:c>
      <x:c r="Y58" s="47" t="n">
        <x:v>5</x:v>
      </x:c>
      <x:c r="Z58" s="47" t="n">
        <x:v>2</x:v>
      </x:c>
      <x:c r="AA58" s="47" t="n">
        <x:v>5</x:v>
      </x:c>
      <x:c r="AB58" s="47" t="n">
        <x:v>2</x:v>
      </x:c>
      <x:c r="AC58" s="47" t="n">
        <x:v>5</x:v>
      </x:c>
      <x:c r="AD58" s="47" t="n">
        <x:v>1</x:v>
      </x:c>
      <x:c r="AE58" s="47" t="n">
        <x:v>4</x:v>
      </x:c>
      <x:c r="AF58" s="47" t="n">
        <x:v>1</x:v>
      </x:c>
      <x:c r="AG58" s="47" t="n">
        <x:v>5</x:v>
      </x:c>
      <x:c r="AH58" s="47" t="n">
        <x:v>1</x:v>
      </x:c>
      <x:c r="AI58" s="48" t="n">
        <x:f>AVERAGE(D58:K58)</x:f>
        <x:v>5.5</x:v>
      </x:c>
      <x:c r="AJ58" s="48" t="n">
        <x:f>SUM(L58:Q58)</x:f>
        <x:v>0</x:v>
      </x:c>
      <x:c r="AK58" s="48" t="n">
        <x:f>AVERAGE(R58:X58)</x:f>
        <x:v>6.285714285714286</x:v>
      </x:c>
      <x:c r="AL58" s="48" t="n">
        <x:f>IF(COUNT(Y58:AH58)=10,((Y58-1)+(5-Z58)+(AA58-1)+(5-AB58)+(AC58-1)+(5-AD58)+(AE58-1)+(5-AF58)+(AG58-1)+(5-AH58))*2.5,"")</x:f>
        <x:v>92.5</x:v>
      </x:c>
    </x:row>
    <x:row r="59">
      <x:c r="A59" s="43" t="str">
        <x:v>User</x:v>
      </x:c>
      <x:c r="B59" s="43" t="str">
        <x:v>iCARE</x:v>
      </x:c>
      <x:c r="C59" s="43" t="str">
        <x:v>P004</x:v>
      </x:c>
      <x:c r="D59" s="44" t="n">
        <x:v>7</x:v>
      </x:c>
      <x:c r="E59" s="44" t="n">
        <x:v>6</x:v>
      </x:c>
      <x:c r="F59" s="44" t="n">
        <x:v>5</x:v>
      </x:c>
      <x:c r="G59" s="44" t="n">
        <x:v>3</x:v>
      </x:c>
      <x:c r="H59" s="44" t="n">
        <x:v>5</x:v>
      </x:c>
      <x:c r="I59" s="44" t="n">
        <x:v>3</x:v>
      </x:c>
      <x:c r="J59" s="44" t="n">
        <x:v>5</x:v>
      </x:c>
      <x:c r="K59" s="44" t="n">
        <x:v>2</x:v>
      </x:c>
      <x:c r="L59" s="45" t="n">
        <x:v>0</x:v>
      </x:c>
      <x:c r="M59" s="45" t="n">
        <x:v>0</x:v>
      </x:c>
      <x:c r="N59" s="45" t="n">
        <x:v>0</x:v>
      </x:c>
      <x:c r="O59" s="45" t="n">
        <x:v>0</x:v>
      </x:c>
      <x:c r="P59" s="45" t="n">
        <x:v>0</x:v>
      </x:c>
      <x:c r="Q59" s="45" t="n">
        <x:v>0</x:v>
      </x:c>
      <x:c r="R59" s="46" t="n">
        <x:v>7</x:v>
      </x:c>
      <x:c r="S59" s="46" t="n">
        <x:v>7</x:v>
      </x:c>
      <x:c r="T59" s="46" t="n">
        <x:v>6</x:v>
      </x:c>
      <x:c r="U59" s="46" t="n">
        <x:v>7</x:v>
      </x:c>
      <x:c r="V59" s="46" t="n">
        <x:v>6</x:v>
      </x:c>
      <x:c r="W59" s="46" t="n">
        <x:v>7</x:v>
      </x:c>
      <x:c r="X59" s="46" t="n">
        <x:v>5</x:v>
      </x:c>
      <x:c r="Y59" s="47" t="n">
        <x:v>4</x:v>
      </x:c>
      <x:c r="Z59" s="47" t="n">
        <x:v>2</x:v>
      </x:c>
      <x:c r="AA59" s="47" t="n">
        <x:v>5</x:v>
      </x:c>
      <x:c r="AB59" s="47" t="n">
        <x:v>1</x:v>
      </x:c>
      <x:c r="AC59" s="47" t="n">
        <x:v>4</x:v>
      </x:c>
      <x:c r="AD59" s="47" t="n">
        <x:v>1</x:v>
      </x:c>
      <x:c r="AE59" s="47" t="n">
        <x:v>4</x:v>
      </x:c>
      <x:c r="AF59" s="47" t="n">
        <x:v>2</x:v>
      </x:c>
      <x:c r="AG59" s="47" t="n">
        <x:v>5</x:v>
      </x:c>
      <x:c r="AH59" s="47" t="n">
        <x:v>2</x:v>
      </x:c>
      <x:c r="AI59" s="48" t="n">
        <x:f>AVERAGE(D59:K59)</x:f>
        <x:v>4.5</x:v>
      </x:c>
      <x:c r="AJ59" s="48" t="n">
        <x:f>SUM(L59:Q59)</x:f>
        <x:v>0</x:v>
      </x:c>
      <x:c r="AK59" s="48" t="n">
        <x:f>AVERAGE(R59:X59)</x:f>
        <x:v>6.428571428571429</x:v>
      </x:c>
      <x:c r="AL59" s="48" t="n">
        <x:f>IF(COUNT(Y59:AH59)=10,((Y59-1)+(5-Z59)+(AA59-1)+(5-AB59)+(AC59-1)+(5-AD59)+(AE59-1)+(5-AF59)+(AG59-1)+(5-AH59))*2.5,"")</x:f>
        <x:v>85</x:v>
      </x:c>
    </x:row>
    <x:row r="60">
      <x:c r="A60" s="43" t="str">
        <x:v>User</x:v>
      </x:c>
      <x:c r="B60" s="43" t="str">
        <x:v>iCARE</x:v>
      </x:c>
      <x:c r="C60" s="43" t="str">
        <x:v>P005</x:v>
      </x:c>
      <x:c r="D60" s="44" t="n">
        <x:v>4</x:v>
      </x:c>
      <x:c r="E60" s="44" t="n">
        <x:v>3</x:v>
      </x:c>
      <x:c r="F60" s="44" t="n">
        <x:v>5</x:v>
      </x:c>
      <x:c r="G60" s="44" t="n">
        <x:v>4</x:v>
      </x:c>
      <x:c r="H60" s="44" t="n">
        <x:v>2</x:v>
      </x:c>
      <x:c r="I60" s="44" t="n">
        <x:v>6</x:v>
      </x:c>
      <x:c r="J60" s="44" t="n">
        <x:v>3</x:v>
      </x:c>
      <x:c r="K60" s="44" t="n">
        <x:v>5</x:v>
      </x:c>
      <x:c r="L60" s="45" t="n">
        <x:v>0</x:v>
      </x:c>
      <x:c r="M60" s="45" t="n">
        <x:v>0</x:v>
      </x:c>
      <x:c r="N60" s="45" t="n">
        <x:v>1</x:v>
      </x:c>
      <x:c r="O60" s="45" t="n">
        <x:v>1</x:v>
      </x:c>
      <x:c r="P60" s="45" t="n">
        <x:v>0</x:v>
      </x:c>
      <x:c r="Q60" s="45" t="n">
        <x:v>0</x:v>
      </x:c>
      <x:c r="R60" s="46" t="n">
        <x:v>6</x:v>
      </x:c>
      <x:c r="S60" s="46" t="n">
        <x:v>6</x:v>
      </x:c>
      <x:c r="T60" s="46" t="n">
        <x:v>5</x:v>
      </x:c>
      <x:c r="U60" s="46" t="n">
        <x:v>5</x:v>
      </x:c>
      <x:c r="V60" s="46" t="n">
        <x:v>3</x:v>
      </x:c>
      <x:c r="W60" s="46" t="n">
        <x:v>3</x:v>
      </x:c>
      <x:c r="X60" s="46" t="n">
        <x:v>6</x:v>
      </x:c>
      <x:c r="Y60" s="47" t="n">
        <x:v>3</x:v>
      </x:c>
      <x:c r="Z60" s="47" t="n">
        <x:v>4</x:v>
      </x:c>
      <x:c r="AA60" s="47" t="n">
        <x:v>4</x:v>
      </x:c>
      <x:c r="AB60" s="47" t="n">
        <x:v>2</x:v>
      </x:c>
      <x:c r="AC60" s="47" t="n">
        <x:v>4</x:v>
      </x:c>
      <x:c r="AD60" s="47" t="n">
        <x:v>2</x:v>
      </x:c>
      <x:c r="AE60" s="47" t="n">
        <x:v>5</x:v>
      </x:c>
      <x:c r="AF60" s="47" t="n">
        <x:v>2</x:v>
      </x:c>
      <x:c r="AG60" s="47" t="n">
        <x:v>4</x:v>
      </x:c>
      <x:c r="AH60" s="47" t="n">
        <x:v>1</x:v>
      </x:c>
      <x:c r="AI60" s="48" t="n">
        <x:f>AVERAGE(D60:K60)</x:f>
        <x:v>4</x:v>
      </x:c>
      <x:c r="AJ60" s="48" t="n">
        <x:f>SUM(L60:Q60)</x:f>
        <x:v>2</x:v>
      </x:c>
      <x:c r="AK60" s="48" t="n">
        <x:f>AVERAGE(R60:X60)</x:f>
        <x:v>4.857142857142857</x:v>
      </x:c>
      <x:c r="AL60" s="48" t="n">
        <x:f>IF(COUNT(Y60:AH60)=10,((Y60-1)+(5-Z60)+(AA60-1)+(5-AB60)+(AC60-1)+(5-AD60)+(AE60-1)+(5-AF60)+(AG60-1)+(5-AH60))*2.5,"")</x:f>
        <x:v>72.5</x:v>
      </x:c>
    </x:row>
    <x:row r="61">
      <x:c r="A61" s="43" t="str">
        <x:v>User</x:v>
      </x:c>
      <x:c r="B61" s="43" t="str">
        <x:v>iCARE</x:v>
      </x:c>
      <x:c r="C61" s="43" t="str">
        <x:v>P006</x:v>
      </x:c>
      <x:c r="D61" s="44" t="n">
        <x:v>6</x:v>
      </x:c>
      <x:c r="E61" s="44" t="n">
        <x:v>5</x:v>
      </x:c>
      <x:c r="F61" s="44" t="n">
        <x:v>3</x:v>
      </x:c>
      <x:c r="G61" s="44" t="n">
        <x:v>3</x:v>
      </x:c>
      <x:c r="H61" s="44" t="n">
        <x:v>3</x:v>
      </x:c>
      <x:c r="I61" s="44" t="n">
        <x:v>2</x:v>
      </x:c>
      <x:c r="J61" s="44" t="n">
        <x:v>2</x:v>
      </x:c>
      <x:c r="K61" s="44" t="n">
        <x:v>4</x:v>
      </x:c>
      <x:c r="L61" s="45" t="n">
        <x:v>0</x:v>
      </x:c>
      <x:c r="M61" s="45" t="n">
        <x:v>0</x:v>
      </x:c>
      <x:c r="N61" s="45" t="n">
        <x:v>0</x:v>
      </x:c>
      <x:c r="O61" s="45" t="n">
        <x:v>0</x:v>
      </x:c>
      <x:c r="P61" s="45" t="n">
        <x:v>0</x:v>
      </x:c>
      <x:c r="Q61" s="45" t="n">
        <x:v>0</x:v>
      </x:c>
      <x:c r="R61" s="46" t="n">
        <x:v>5</x:v>
      </x:c>
      <x:c r="S61" s="46" t="n">
        <x:v>5</x:v>
      </x:c>
      <x:c r="T61" s="46" t="n">
        <x:v>3</x:v>
      </x:c>
      <x:c r="U61" s="46" t="n">
        <x:v>4</x:v>
      </x:c>
      <x:c r="V61" s="46" t="n">
        <x:v>3</x:v>
      </x:c>
      <x:c r="W61" s="46" t="n">
        <x:v>3</x:v>
      </x:c>
      <x:c r="X61" s="46" t="n">
        <x:v>6</x:v>
      </x:c>
      <x:c r="Y61" s="47" t="n">
        <x:v>1</x:v>
      </x:c>
      <x:c r="Z61" s="47" t="n">
        <x:v>4</x:v>
      </x:c>
      <x:c r="AA61" s="47" t="n">
        <x:v>4</x:v>
      </x:c>
      <x:c r="AB61" s="47" t="n">
        <x:v>1</x:v>
      </x:c>
      <x:c r="AC61" s="47" t="n">
        <x:v>3</x:v>
      </x:c>
      <x:c r="AD61" s="47" t="n">
        <x:v>2</x:v>
      </x:c>
      <x:c r="AE61" s="47" t="n">
        <x:v>3</x:v>
      </x:c>
      <x:c r="AF61" s="47" t="n">
        <x:v>3</x:v>
      </x:c>
      <x:c r="AG61" s="47" t="n">
        <x:v>4</x:v>
      </x:c>
      <x:c r="AH61" s="47" t="n">
        <x:v>1</x:v>
      </x:c>
      <x:c r="AI61" s="48" t="n">
        <x:f>AVERAGE(D61:K61)</x:f>
        <x:v>3.5</x:v>
      </x:c>
      <x:c r="AJ61" s="48" t="n">
        <x:f>SUM(L61:Q61)</x:f>
        <x:v>0</x:v>
      </x:c>
      <x:c r="AK61" s="48" t="n">
        <x:f>AVERAGE(R61:X61)</x:f>
        <x:v>4.142857142857143</x:v>
      </x:c>
      <x:c r="AL61" s="48" t="n">
        <x:f>IF(COUNT(Y61:AH61)=10,((Y61-1)+(5-Z61)+(AA61-1)+(5-AB61)+(AC61-1)+(5-AD61)+(AE61-1)+(5-AF61)+(AG61-1)+(5-AH61))*2.5,"")</x:f>
        <x:v>60</x:v>
      </x:c>
    </x:row>
    <x:row r="62">
      <x:c r="A62" s="43" t="str">
        <x:v>User</x:v>
      </x:c>
      <x:c r="B62" s="43" t="str">
        <x:v>iCARE</x:v>
      </x:c>
      <x:c r="C62" s="43" t="str">
        <x:v>P007</x:v>
      </x:c>
      <x:c r="D62" s="44" t="n">
        <x:v>6</x:v>
      </x:c>
      <x:c r="E62" s="44" t="n">
        <x:v>5</x:v>
      </x:c>
      <x:c r="F62" s="44" t="n">
        <x:v>6</x:v>
      </x:c>
      <x:c r="G62" s="44" t="n">
        <x:v>5</x:v>
      </x:c>
      <x:c r="H62" s="44" t="n">
        <x:v>4</x:v>
      </x:c>
      <x:c r="I62" s="44" t="n">
        <x:v>5</x:v>
      </x:c>
      <x:c r="J62" s="44" t="n">
        <x:v>6</x:v>
      </x:c>
      <x:c r="K62" s="44" t="n">
        <x:v>5</x:v>
      </x:c>
      <x:c r="L62" s="45" t="n">
        <x:v>2</x:v>
      </x:c>
      <x:c r="M62" s="45" t="n">
        <x:v>1</x:v>
      </x:c>
      <x:c r="N62" s="45" t="n">
        <x:v>3</x:v>
      </x:c>
      <x:c r="O62" s="45" t="n">
        <x:v>3</x:v>
      </x:c>
      <x:c r="P62" s="45" t="n">
        <x:v>1</x:v>
      </x:c>
      <x:c r="Q62" s="45" t="n">
        <x:v>2</x:v>
      </x:c>
      <x:c r="R62" s="46" t="n">
        <x:v>6</x:v>
      </x:c>
      <x:c r="S62" s="46" t="n">
        <x:v>6</x:v>
      </x:c>
      <x:c r="T62" s="46" t="n">
        <x:v>6</x:v>
      </x:c>
      <x:c r="U62" s="46" t="n">
        <x:v>6</x:v>
      </x:c>
      <x:c r="V62" s="46" t="n">
        <x:v>2</x:v>
      </x:c>
      <x:c r="W62" s="46" t="n">
        <x:v>3</x:v>
      </x:c>
      <x:c r="X62" s="46" t="n">
        <x:v>6</x:v>
      </x:c>
      <x:c r="Y62" s="47" t="n">
        <x:v>4</x:v>
      </x:c>
      <x:c r="Z62" s="47" t="n">
        <x:v>2</x:v>
      </x:c>
      <x:c r="AA62" s="47" t="n">
        <x:v>4</x:v>
      </x:c>
      <x:c r="AB62" s="47" t="n">
        <x:v>2</x:v>
      </x:c>
      <x:c r="AC62" s="47" t="n">
        <x:v>3</x:v>
      </x:c>
      <x:c r="AD62" s="47" t="n">
        <x:v>2</x:v>
      </x:c>
      <x:c r="AE62" s="47" t="n">
        <x:v>4</x:v>
      </x:c>
      <x:c r="AF62" s="47" t="n">
        <x:v>2</x:v>
      </x:c>
      <x:c r="AG62" s="47" t="n">
        <x:v>4</x:v>
      </x:c>
      <x:c r="AH62" s="47" t="n">
        <x:v>2</x:v>
      </x:c>
      <x:c r="AI62" s="48" t="n">
        <x:f>AVERAGE(D62:K62)</x:f>
        <x:v>5.25</x:v>
      </x:c>
      <x:c r="AJ62" s="48" t="n">
        <x:f>SUM(L62:Q62)</x:f>
        <x:v>12</x:v>
      </x:c>
      <x:c r="AK62" s="48" t="n">
        <x:f>AVERAGE(R62:X62)</x:f>
        <x:v>5</x:v>
      </x:c>
      <x:c r="AL62" s="48" t="n">
        <x:f>IF(COUNT(Y62:AH62)=10,((Y62-1)+(5-Z62)+(AA62-1)+(5-AB62)+(AC62-1)+(5-AD62)+(AE62-1)+(5-AF62)+(AG62-1)+(5-AH62))*2.5,"")</x:f>
        <x:v>72.5</x:v>
      </x:c>
    </x:row>
    <x:row r="63">
      <x:c r="A63" s="43" t="str">
        <x:v>User</x:v>
      </x:c>
      <x:c r="B63" s="43" t="str">
        <x:v>iCARE</x:v>
      </x:c>
      <x:c r="C63" s="43" t="str">
        <x:v>P008</x:v>
      </x:c>
      <x:c r="D63" s="44" t="n">
        <x:v>6</x:v>
      </x:c>
      <x:c r="E63" s="44" t="n">
        <x:v>6</x:v>
      </x:c>
      <x:c r="F63" s="44" t="n">
        <x:v>5</x:v>
      </x:c>
      <x:c r="G63" s="44" t="n">
        <x:v>7</x:v>
      </x:c>
      <x:c r="H63" s="44" t="n">
        <x:v>6</x:v>
      </x:c>
      <x:c r="I63" s="44" t="n">
        <x:v>6</x:v>
      </x:c>
      <x:c r="J63" s="44" t="n">
        <x:v>6</x:v>
      </x:c>
      <x:c r="K63" s="44" t="n">
        <x:v>6</x:v>
      </x:c>
      <x:c r="L63" s="45" t="n">
        <x:v>0</x:v>
      </x:c>
      <x:c r="M63" s="45" t="n">
        <x:v>0</x:v>
      </x:c>
      <x:c r="N63" s="45" t="n">
        <x:v>0</x:v>
      </x:c>
      <x:c r="O63" s="45" t="n">
        <x:v>0</x:v>
      </x:c>
      <x:c r="P63" s="45" t="n">
        <x:v>0</x:v>
      </x:c>
      <x:c r="Q63" s="45" t="n">
        <x:v>0</x:v>
      </x:c>
      <x:c r="R63" s="46" t="n">
        <x:v>7</x:v>
      </x:c>
      <x:c r="S63" s="46" t="n">
        <x:v>7</x:v>
      </x:c>
      <x:c r="T63" s="46" t="n">
        <x:v>7</x:v>
      </x:c>
      <x:c r="U63" s="46" t="n">
        <x:v>6</x:v>
      </x:c>
      <x:c r="V63" s="46" t="n">
        <x:v>7</x:v>
      </x:c>
      <x:c r="W63" s="46" t="n">
        <x:v>7</x:v>
      </x:c>
      <x:c r="X63" s="46" t="n">
        <x:v>4</x:v>
      </x:c>
      <x:c r="Y63" s="47" t="n">
        <x:v>4</x:v>
      </x:c>
      <x:c r="Z63" s="47" t="n">
        <x:v>2</x:v>
      </x:c>
      <x:c r="AA63" s="47" t="n">
        <x:v>5</x:v>
      </x:c>
      <x:c r="AB63" s="47" t="n">
        <x:v>2</x:v>
      </x:c>
      <x:c r="AC63" s="47" t="n">
        <x:v>4</x:v>
      </x:c>
      <x:c r="AD63" s="47" t="n">
        <x:v>1</x:v>
      </x:c>
      <x:c r="AE63" s="47" t="n">
        <x:v>5</x:v>
      </x:c>
      <x:c r="AF63" s="47" t="n">
        <x:v>1</x:v>
      </x:c>
      <x:c r="AG63" s="47" t="n">
        <x:v>4</x:v>
      </x:c>
      <x:c r="AH63" s="47" t="n">
        <x:v>1</x:v>
      </x:c>
      <x:c r="AI63" s="48" t="n">
        <x:f>AVERAGE(D63:K63)</x:f>
        <x:v>6</x:v>
      </x:c>
      <x:c r="AJ63" s="48" t="n">
        <x:f>SUM(L63:Q63)</x:f>
        <x:v>0</x:v>
      </x:c>
      <x:c r="AK63" s="48" t="n">
        <x:f>AVERAGE(R63:X63)</x:f>
        <x:v>6.428571428571429</x:v>
      </x:c>
      <x:c r="AL63" s="48" t="n">
        <x:f>IF(COUNT(Y63:AH63)=10,((Y63-1)+(5-Z63)+(AA63-1)+(5-AB63)+(AC63-1)+(5-AD63)+(AE63-1)+(5-AF63)+(AG63-1)+(5-AH63))*2.5,"")</x:f>
        <x:v>87.5</x:v>
      </x:c>
    </x:row>
    <x:row r="64">
      <x:c r="A64" s="43" t="str">
        <x:v>User</x:v>
      </x:c>
      <x:c r="B64" s="43" t="str">
        <x:v>iCARE</x:v>
      </x:c>
      <x:c r="C64" s="43" t="str">
        <x:v>P009</x:v>
      </x:c>
      <x:c r="D64" s="44" t="n">
        <x:v>1</x:v>
      </x:c>
      <x:c r="E64" s="44" t="n">
        <x:v>5</x:v>
      </x:c>
      <x:c r="F64" s="44" t="n">
        <x:v>6</x:v>
      </x:c>
      <x:c r="G64" s="44" t="n">
        <x:v>5</x:v>
      </x:c>
      <x:c r="H64" s="44" t="n">
        <x:v>6</x:v>
      </x:c>
      <x:c r="I64" s="44" t="n">
        <x:v>6</x:v>
      </x:c>
      <x:c r="J64" s="44" t="n">
        <x:v>6</x:v>
      </x:c>
      <x:c r="K64" s="44" t="n">
        <x:v>5</x:v>
      </x:c>
      <x:c r="L64" s="45" t="n">
        <x:v>0</x:v>
      </x:c>
      <x:c r="M64" s="45" t="n">
        <x:v>0</x:v>
      </x:c>
      <x:c r="N64" s="45" t="n">
        <x:v>0</x:v>
      </x:c>
      <x:c r="O64" s="45" t="n">
        <x:v>0</x:v>
      </x:c>
      <x:c r="P64" s="45" t="n">
        <x:v>0</x:v>
      </x:c>
      <x:c r="Q64" s="45" t="n">
        <x:v>0</x:v>
      </x:c>
      <x:c r="R64" s="46" t="n">
        <x:v>7</x:v>
      </x:c>
      <x:c r="S64" s="46" t="n">
        <x:v>7</x:v>
      </x:c>
      <x:c r="T64" s="46" t="n">
        <x:v>7</x:v>
      </x:c>
      <x:c r="U64" s="46" t="n">
        <x:v>6</x:v>
      </x:c>
      <x:c r="V64" s="46" t="n">
        <x:v>7</x:v>
      </x:c>
      <x:c r="W64" s="46" t="n">
        <x:v>2</x:v>
      </x:c>
      <x:c r="X64" s="46" t="n">
        <x:v>7</x:v>
      </x:c>
      <x:c r="Y64" s="47" t="n">
        <x:v>3</x:v>
      </x:c>
      <x:c r="Z64" s="47" t="n">
        <x:v>2</x:v>
      </x:c>
      <x:c r="AA64" s="47" t="n">
        <x:v>5</x:v>
      </x:c>
      <x:c r="AB64" s="47" t="n">
        <x:v>2</x:v>
      </x:c>
      <x:c r="AC64" s="47" t="n">
        <x:v>4</x:v>
      </x:c>
      <x:c r="AD64" s="47" t="n">
        <x:v>2</x:v>
      </x:c>
      <x:c r="AE64" s="47" t="n">
        <x:v>4</x:v>
      </x:c>
      <x:c r="AF64" s="47" t="n">
        <x:v>2</x:v>
      </x:c>
      <x:c r="AG64" s="47" t="n">
        <x:v>5</x:v>
      </x:c>
      <x:c r="AH64" s="47" t="n">
        <x:v>2</x:v>
      </x:c>
      <x:c r="AI64" s="48" t="n">
        <x:f>AVERAGE(D64:K64)</x:f>
        <x:v>5</x:v>
      </x:c>
      <x:c r="AJ64" s="48" t="n">
        <x:f>SUM(L64:Q64)</x:f>
        <x:v>0</x:v>
      </x:c>
      <x:c r="AK64" s="48" t="n">
        <x:f>AVERAGE(R64:X64)</x:f>
        <x:v>6.142857142857143</x:v>
      </x:c>
      <x:c r="AL64" s="48" t="n">
        <x:f>IF(COUNT(Y64:AH64)=10,((Y64-1)+(5-Z64)+(AA64-1)+(5-AB64)+(AC64-1)+(5-AD64)+(AE64-1)+(5-AF64)+(AG64-1)+(5-AH64))*2.5,"")</x:f>
        <x:v>77.5</x:v>
      </x:c>
    </x:row>
    <x:row r="65">
      <x:c r="A65" s="43" t="str">
        <x:v>User</x:v>
      </x:c>
      <x:c r="B65" s="43" t="str">
        <x:v>iCARE</x:v>
      </x:c>
      <x:c r="C65" s="43" t="str">
        <x:v>P010</x:v>
      </x:c>
      <x:c r="D65" s="44" t="n">
        <x:v>6</x:v>
      </x:c>
      <x:c r="E65" s="44" t="n">
        <x:v>7</x:v>
      </x:c>
      <x:c r="F65" s="44" t="n">
        <x:v>4</x:v>
      </x:c>
      <x:c r="G65" s="44" t="n">
        <x:v>5</x:v>
      </x:c>
      <x:c r="H65" s="44" t="n">
        <x:v>3</x:v>
      </x:c>
      <x:c r="I65" s="44" t="n">
        <x:v>3</x:v>
      </x:c>
      <x:c r="J65" s="44" t="n">
        <x:v>5</x:v>
      </x:c>
      <x:c r="K65" s="44" t="n">
        <x:v>5</x:v>
      </x:c>
      <x:c r="L65" s="45" t="n">
        <x:v>1</x:v>
      </x:c>
      <x:c r="M65" s="45" t="n">
        <x:v>0</x:v>
      </x:c>
      <x:c r="N65" s="45" t="n">
        <x:v>0</x:v>
      </x:c>
      <x:c r="O65" s="45" t="n">
        <x:v>0</x:v>
      </x:c>
      <x:c r="P65" s="45" t="n">
        <x:v>0</x:v>
      </x:c>
      <x:c r="Q65" s="45" t="n">
        <x:v>1</x:v>
      </x:c>
      <x:c r="R65" s="46" t="n">
        <x:v>5</x:v>
      </x:c>
      <x:c r="S65" s="46" t="n">
        <x:v>6</x:v>
      </x:c>
      <x:c r="T65" s="46" t="n">
        <x:v>7</x:v>
      </x:c>
      <x:c r="U65" s="46" t="n">
        <x:v>4</x:v>
      </x:c>
      <x:c r="V65" s="46" t="n">
        <x:v>2</x:v>
      </x:c>
      <x:c r="W65" s="46" t="n">
        <x:v>6</x:v>
      </x:c>
      <x:c r="X65" s="46" t="n">
        <x:v>3</x:v>
      </x:c>
      <x:c r="Y65" s="47" t="n">
        <x:v>2</x:v>
      </x:c>
      <x:c r="Z65" s="47" t="n">
        <x:v>2</x:v>
      </x:c>
      <x:c r="AA65" s="47" t="n">
        <x:v>5</x:v>
      </x:c>
      <x:c r="AB65" s="47" t="n">
        <x:v>5</x:v>
      </x:c>
      <x:c r="AC65" s="47" t="n">
        <x:v>3</x:v>
      </x:c>
      <x:c r="AD65" s="47" t="n">
        <x:v>2</x:v>
      </x:c>
      <x:c r="AE65" s="47" t="n">
        <x:v>4</x:v>
      </x:c>
      <x:c r="AF65" s="47" t="n">
        <x:v>2</x:v>
      </x:c>
      <x:c r="AG65" s="47" t="n">
        <x:v>4</x:v>
      </x:c>
      <x:c r="AH65" s="47" t="n">
        <x:v>2</x:v>
      </x:c>
      <x:c r="AI65" s="48" t="n">
        <x:f>AVERAGE(D65:K65)</x:f>
        <x:v>4.75</x:v>
      </x:c>
      <x:c r="AJ65" s="48" t="n">
        <x:f>SUM(L65:Q65)</x:f>
        <x:v>2</x:v>
      </x:c>
      <x:c r="AK65" s="48" t="n">
        <x:f>AVERAGE(R65:X65)</x:f>
        <x:v>4.714285714285714</x:v>
      </x:c>
      <x:c r="AL65" s="48" t="n">
        <x:f>IF(COUNT(Y65:AH65)=10,((Y65-1)+(5-Z65)+(AA65-1)+(5-AB65)+(AC65-1)+(5-AD65)+(AE65-1)+(5-AF65)+(AG65-1)+(5-AH65))*2.5,"")</x:f>
        <x:v>62.5</x:v>
      </x:c>
    </x:row>
    <x:row r="66">
      <x:c r="A66" s="43" t="str">
        <x:v>User</x:v>
      </x:c>
      <x:c r="B66" s="43" t="str">
        <x:v>iCARE</x:v>
      </x:c>
      <x:c r="C66" s="43" t="str">
        <x:v>P011</x:v>
      </x:c>
      <x:c r="D66" s="44" t="n">
        <x:v>7</x:v>
      </x:c>
      <x:c r="E66" s="44" t="n">
        <x:v>7</x:v>
      </x:c>
      <x:c r="F66" s="44" t="n">
        <x:v>6</x:v>
      </x:c>
      <x:c r="G66" s="44" t="n">
        <x:v>5</x:v>
      </x:c>
      <x:c r="H66" s="44" t="n">
        <x:v>3</x:v>
      </x:c>
      <x:c r="I66" s="44" t="n">
        <x:v>4</x:v>
      </x:c>
      <x:c r="J66" s="44" t="n">
        <x:v>6</x:v>
      </x:c>
      <x:c r="K66" s="44" t="n">
        <x:v>5</x:v>
      </x:c>
      <x:c r="L66" s="45" t="n">
        <x:v>1</x:v>
      </x:c>
      <x:c r="M66" s="45" t="n">
        <x:v>0</x:v>
      </x:c>
      <x:c r="N66" s="45" t="n">
        <x:v>2</x:v>
      </x:c>
      <x:c r="O66" s="45" t="n">
        <x:v>1</x:v>
      </x:c>
      <x:c r="P66" s="45" t="n">
        <x:v>0</x:v>
      </x:c>
      <x:c r="Q66" s="45" t="n">
        <x:v>2</x:v>
      </x:c>
      <x:c r="R66" s="46" t="n">
        <x:v>7</x:v>
      </x:c>
      <x:c r="S66" s="46" t="n">
        <x:v>7</x:v>
      </x:c>
      <x:c r="T66" s="46" t="n">
        <x:v>7</x:v>
      </x:c>
      <x:c r="U66" s="46" t="n">
        <x:v>4</x:v>
      </x:c>
      <x:c r="V66" s="46" t="n">
        <x:v>7</x:v>
      </x:c>
      <x:c r="W66" s="46" t="n">
        <x:v>6</x:v>
      </x:c>
      <x:c r="X66" s="46" t="n">
        <x:v>5</x:v>
      </x:c>
      <x:c r="Y66" s="47" t="n">
        <x:v>3</x:v>
      </x:c>
      <x:c r="Z66" s="47" t="n">
        <x:v>1</x:v>
      </x:c>
      <x:c r="AA66" s="47" t="n">
        <x:v>4</x:v>
      </x:c>
      <x:c r="AB66" s="47" t="n">
        <x:v>3</x:v>
      </x:c>
      <x:c r="AC66" s="47" t="n">
        <x:v>4</x:v>
      </x:c>
      <x:c r="AD66" s="47" t="n">
        <x:v>2</x:v>
      </x:c>
      <x:c r="AE66" s="47" t="n">
        <x:v>4</x:v>
      </x:c>
      <x:c r="AF66" s="47" t="n">
        <x:v>1</x:v>
      </x:c>
      <x:c r="AG66" s="47" t="n">
        <x:v>4</x:v>
      </x:c>
      <x:c r="AH66" s="47" t="n">
        <x:v>1</x:v>
      </x:c>
      <x:c r="AI66" s="48" t="n">
        <x:f>AVERAGE(D66:K66)</x:f>
        <x:v>5.375</x:v>
      </x:c>
      <x:c r="AJ66" s="48" t="n">
        <x:f>SUM(L66:Q66)</x:f>
        <x:v>6</x:v>
      </x:c>
      <x:c r="AK66" s="48" t="n">
        <x:f>AVERAGE(R66:X66)</x:f>
        <x:v>6.142857142857143</x:v>
      </x:c>
      <x:c r="AL66" s="48" t="n">
        <x:f>IF(COUNT(Y66:AH66)=10,((Y66-1)+(5-Z66)+(AA66-1)+(5-AB66)+(AC66-1)+(5-AD66)+(AE66-1)+(5-AF66)+(AG66-1)+(5-AH66))*2.5,"")</x:f>
        <x:v>77.5</x:v>
      </x:c>
    </x:row>
    <x:row r="67">
      <x:c r="A67" s="43" t="str">
        <x:v>User</x:v>
      </x:c>
      <x:c r="B67" s="43" t="str">
        <x:v>iCARE</x:v>
      </x:c>
      <x:c r="C67" s="43" t="str">
        <x:v>P012</x:v>
      </x:c>
      <x:c r="D67" s="44" t="n">
        <x:v>5</x:v>
      </x:c>
      <x:c r="E67" s="44" t="n">
        <x:v>4</x:v>
      </x:c>
      <x:c r="F67" s="44" t="n">
        <x:v>2</x:v>
      </x:c>
      <x:c r="G67" s="44" t="n">
        <x:v>5</x:v>
      </x:c>
      <x:c r="H67" s="44" t="n">
        <x:v>5</x:v>
      </x:c>
      <x:c r="I67" s="44" t="n">
        <x:v>2</x:v>
      </x:c>
      <x:c r="J67" s="44" t="n">
        <x:v>4</x:v>
      </x:c>
      <x:c r="K67" s="44" t="n">
        <x:v>3</x:v>
      </x:c>
      <x:c r="L67" s="45" t="n">
        <x:v>0</x:v>
      </x:c>
      <x:c r="M67" s="45" t="n">
        <x:v>0</x:v>
      </x:c>
      <x:c r="N67" s="45" t="n">
        <x:v>1</x:v>
      </x:c>
      <x:c r="O67" s="45" t="n">
        <x:v>1</x:v>
      </x:c>
      <x:c r="P67" s="45" t="n">
        <x:v>0</x:v>
      </x:c>
      <x:c r="Q67" s="45" t="n">
        <x:v>0</x:v>
      </x:c>
      <x:c r="R67" s="46" t="n">
        <x:v>6</x:v>
      </x:c>
      <x:c r="S67" s="46" t="n">
        <x:v>6</x:v>
      </x:c>
      <x:c r="T67" s="46" t="n">
        <x:v>5</x:v>
      </x:c>
      <x:c r="U67" s="46" t="n">
        <x:v>5</x:v>
      </x:c>
      <x:c r="V67" s="46" t="n">
        <x:v>4</x:v>
      </x:c>
      <x:c r="W67" s="46" t="n">
        <x:v>6</x:v>
      </x:c>
      <x:c r="X67" s="46" t="n">
        <x:v>3</x:v>
      </x:c>
      <x:c r="Y67" s="47" t="n">
        <x:v>4</x:v>
      </x:c>
      <x:c r="Z67" s="47" t="n">
        <x:v>2</x:v>
      </x:c>
      <x:c r="AA67" s="47" t="n">
        <x:v>4</x:v>
      </x:c>
      <x:c r="AB67" s="47" t="n">
        <x:v>2</x:v>
      </x:c>
      <x:c r="AC67" s="47" t="n">
        <x:v>4</x:v>
      </x:c>
      <x:c r="AD67" s="47" t="n">
        <x:v>2</x:v>
      </x:c>
      <x:c r="AE67" s="47" t="n">
        <x:v>2</x:v>
      </x:c>
      <x:c r="AF67" s="47" t="n">
        <x:v>2</x:v>
      </x:c>
      <x:c r="AG67" s="47" t="n">
        <x:v>4</x:v>
      </x:c>
      <x:c r="AH67" s="47" t="n">
        <x:v>2</x:v>
      </x:c>
      <x:c r="AI67" s="48" t="n">
        <x:f>AVERAGE(D67:K67)</x:f>
        <x:v>3.75</x:v>
      </x:c>
      <x:c r="AJ67" s="48" t="n">
        <x:f>SUM(L67:Q67)</x:f>
        <x:v>2</x:v>
      </x:c>
      <x:c r="AK67" s="48" t="n">
        <x:f>AVERAGE(R67:X67)</x:f>
        <x:v>5</x:v>
      </x:c>
      <x:c r="AL67" s="48" t="n">
        <x:f>IF(COUNT(Y67:AH67)=10,((Y67-1)+(5-Z67)+(AA67-1)+(5-AB67)+(AC67-1)+(5-AD67)+(AE67-1)+(5-AF67)+(AG67-1)+(5-AH67))*2.5,"")</x:f>
        <x:v>70</x:v>
      </x:c>
    </x:row>
    <x:row r="68">
      <x:c r="A68" s="43" t="str">
        <x:v>User</x:v>
      </x:c>
      <x:c r="B68" s="43" t="str">
        <x:v>iCARE</x:v>
      </x:c>
      <x:c r="C68" s="43" t="str">
        <x:v>P013</x:v>
      </x:c>
      <x:c r="D68" s="44" t="n">
        <x:v>3</x:v>
      </x:c>
      <x:c r="E68" s="44" t="n">
        <x:v>6</x:v>
      </x:c>
      <x:c r="F68" s="44" t="n">
        <x:v>1</x:v>
      </x:c>
      <x:c r="G68" s="44" t="n">
        <x:v>5</x:v>
      </x:c>
      <x:c r="H68" s="44" t="n">
        <x:v>3</x:v>
      </x:c>
      <x:c r="I68" s="44" t="n">
        <x:v>6</x:v>
      </x:c>
      <x:c r="J68" s="44" t="n">
        <x:v>2</x:v>
      </x:c>
      <x:c r="K68" s="44" t="n">
        <x:v>2</x:v>
      </x:c>
      <x:c r="L68" s="45" t="n">
        <x:v>0</x:v>
      </x:c>
      <x:c r="M68" s="45" t="n">
        <x:v>0</x:v>
      </x:c>
      <x:c r="N68" s="45" t="n">
        <x:v>3</x:v>
      </x:c>
      <x:c r="O68" s="45" t="n">
        <x:v>1</x:v>
      </x:c>
      <x:c r="P68" s="45" t="n">
        <x:v>0</x:v>
      </x:c>
      <x:c r="Q68" s="45" t="n">
        <x:v>0</x:v>
      </x:c>
      <x:c r="R68" s="46" t="n">
        <x:v>6</x:v>
      </x:c>
      <x:c r="S68" s="46" t="n">
        <x:v>6</x:v>
      </x:c>
      <x:c r="T68" s="46" t="n">
        <x:v>5</x:v>
      </x:c>
      <x:c r="U68" s="46" t="n">
        <x:v>1</x:v>
      </x:c>
      <x:c r="V68" s="46" t="n">
        <x:v>2</x:v>
      </x:c>
      <x:c r="W68" s="46" t="n">
        <x:v>6</x:v>
      </x:c>
      <x:c r="X68" s="46" t="n">
        <x:v>7</x:v>
      </x:c>
      <x:c r="Y68" s="47" t="n">
        <x:v>2</x:v>
      </x:c>
      <x:c r="Z68" s="47" t="n">
        <x:v>3</x:v>
      </x:c>
      <x:c r="AA68" s="47" t="n">
        <x:v>4</x:v>
      </x:c>
      <x:c r="AB68" s="47" t="n">
        <x:v>4</x:v>
      </x:c>
      <x:c r="AC68" s="47" t="n">
        <x:v>2</x:v>
      </x:c>
      <x:c r="AD68" s="47" t="n">
        <x:v>3</x:v>
      </x:c>
      <x:c r="AE68" s="47" t="n">
        <x:v>4</x:v>
      </x:c>
      <x:c r="AF68" s="47" t="n">
        <x:v>1</x:v>
      </x:c>
      <x:c r="AG68" s="47" t="n">
        <x:v>4</x:v>
      </x:c>
      <x:c r="AH68" s="47" t="n">
        <x:v>1</x:v>
      </x:c>
      <x:c r="AI68" s="48" t="n">
        <x:f>AVERAGE(D68:K68)</x:f>
        <x:v>3.5</x:v>
      </x:c>
      <x:c r="AJ68" s="48" t="n">
        <x:f>SUM(L68:Q68)</x:f>
        <x:v>4</x:v>
      </x:c>
      <x:c r="AK68" s="48" t="n">
        <x:f>AVERAGE(R68:X68)</x:f>
        <x:v>4.714285714285714</x:v>
      </x:c>
      <x:c r="AL68" s="48" t="n">
        <x:f>IF(COUNT(Y68:AH68)=10,((Y68-1)+(5-Z68)+(AA68-1)+(5-AB68)+(AC68-1)+(5-AD68)+(AE68-1)+(5-AF68)+(AG68-1)+(5-AH68))*2.5,"")</x:f>
        <x:v>60</x:v>
      </x:c>
    </x:row>
    <x:row r="69">
      <x:c r="A69" s="43" t="str">
        <x:v>User</x:v>
      </x:c>
      <x:c r="B69" s="43" t="str">
        <x:v>iCARE</x:v>
      </x:c>
      <x:c r="C69" s="43" t="str">
        <x:v>P014</x:v>
      </x:c>
      <x:c r="D69" s="44" t="n">
        <x:v>6</x:v>
      </x:c>
      <x:c r="E69" s="44" t="n">
        <x:v>5</x:v>
      </x:c>
      <x:c r="F69" s="44" t="n">
        <x:v>6</x:v>
      </x:c>
      <x:c r="G69" s="44" t="n">
        <x:v>5</x:v>
      </x:c>
      <x:c r="H69" s="44" t="n">
        <x:v>3</x:v>
      </x:c>
      <x:c r="I69" s="44" t="n">
        <x:v>7</x:v>
      </x:c>
      <x:c r="J69" s="44" t="n">
        <x:v>6</x:v>
      </x:c>
      <x:c r="K69" s="44" t="n">
        <x:v>3</x:v>
      </x:c>
      <x:c r="L69" s="45" t="n">
        <x:v>1</x:v>
      </x:c>
      <x:c r="M69" s="45" t="n">
        <x:v>0</x:v>
      </x:c>
      <x:c r="N69" s="45" t="n">
        <x:v>0</x:v>
      </x:c>
      <x:c r="O69" s="45" t="n">
        <x:v>0</x:v>
      </x:c>
      <x:c r="P69" s="45" t="n">
        <x:v>0</x:v>
      </x:c>
      <x:c r="Q69" s="45" t="n">
        <x:v>0</x:v>
      </x:c>
      <x:c r="R69" s="46" t="n">
        <x:v>6</x:v>
      </x:c>
      <x:c r="S69" s="46" t="n">
        <x:v>6</x:v>
      </x:c>
      <x:c r="T69" s="46" t="n">
        <x:v>7</x:v>
      </x:c>
      <x:c r="U69" s="46" t="n">
        <x:v>6</x:v>
      </x:c>
      <x:c r="V69" s="46" t="n">
        <x:v>7</x:v>
      </x:c>
      <x:c r="W69" s="46" t="n">
        <x:v>6</x:v>
      </x:c>
      <x:c r="X69" s="46" t="n">
        <x:v>3</x:v>
      </x:c>
      <x:c r="Y69" s="47" t="n">
        <x:v>4</x:v>
      </x:c>
      <x:c r="Z69" s="47" t="n">
        <x:v>2</x:v>
      </x:c>
      <x:c r="AA69" s="47" t="n">
        <x:v>4</x:v>
      </x:c>
      <x:c r="AB69" s="47" t="n">
        <x:v>2</x:v>
      </x:c>
      <x:c r="AC69" s="47" t="n">
        <x:v>4</x:v>
      </x:c>
      <x:c r="AD69" s="47" t="n">
        <x:v>2</x:v>
      </x:c>
      <x:c r="AE69" s="47" t="n">
        <x:v>5</x:v>
      </x:c>
      <x:c r="AF69" s="47" t="n">
        <x:v>2</x:v>
      </x:c>
      <x:c r="AG69" s="47" t="n">
        <x:v>4</x:v>
      </x:c>
      <x:c r="AH69" s="47" t="n">
        <x:v>2</x:v>
      </x:c>
      <x:c r="AI69" s="48" t="n">
        <x:f>AVERAGE(D69:K69)</x:f>
        <x:v>5.125</x:v>
      </x:c>
      <x:c r="AJ69" s="48" t="n">
        <x:f>SUM(L69:Q69)</x:f>
        <x:v>1</x:v>
      </x:c>
      <x:c r="AK69" s="48" t="n">
        <x:f>AVERAGE(R69:X69)</x:f>
        <x:v>5.857142857142857</x:v>
      </x:c>
      <x:c r="AL69" s="48" t="n">
        <x:f>IF(COUNT(Y69:AH69)=10,((Y69-1)+(5-Z69)+(AA69-1)+(5-AB69)+(AC69-1)+(5-AD69)+(AE69-1)+(5-AF69)+(AG69-1)+(5-AH69))*2.5,"")</x:f>
        <x:v>77.5</x:v>
      </x:c>
    </x:row>
    <x:row r="70">
      <x:c r="A70" s="43" t="str">
        <x:v>User</x:v>
      </x:c>
      <x:c r="B70" s="43" t="str">
        <x:v>iCARE</x:v>
      </x:c>
      <x:c r="C70" s="43" t="str">
        <x:v>P015</x:v>
      </x:c>
      <x:c r="D70" s="44" t="n">
        <x:v>6</x:v>
      </x:c>
      <x:c r="E70" s="44" t="n">
        <x:v>7</x:v>
      </x:c>
      <x:c r="F70" s="44" t="n">
        <x:v>4</x:v>
      </x:c>
      <x:c r="G70" s="44" t="n">
        <x:v>4</x:v>
      </x:c>
      <x:c r="H70" s="44" t="n">
        <x:v>3</x:v>
      </x:c>
      <x:c r="I70" s="44" t="n">
        <x:v>7</x:v>
      </x:c>
      <x:c r="J70" s="44" t="n">
        <x:v>7</x:v>
      </x:c>
      <x:c r="K70" s="44" t="n">
        <x:v>6</x:v>
      </x:c>
      <x:c r="L70" s="45" t="n">
        <x:v>0</x:v>
      </x:c>
      <x:c r="M70" s="45" t="n">
        <x:v>0</x:v>
      </x:c>
      <x:c r="N70" s="45" t="n">
        <x:v>1</x:v>
      </x:c>
      <x:c r="O70" s="45" t="n">
        <x:v>0</x:v>
      </x:c>
      <x:c r="P70" s="45" t="n">
        <x:v>0</x:v>
      </x:c>
      <x:c r="Q70" s="45" t="n">
        <x:v>0</x:v>
      </x:c>
      <x:c r="R70" s="46" t="n">
        <x:v>7</x:v>
      </x:c>
      <x:c r="S70" s="46" t="n">
        <x:v>7</x:v>
      </x:c>
      <x:c r="T70" s="46" t="n">
        <x:v>7</x:v>
      </x:c>
      <x:c r="U70" s="46" t="n">
        <x:v>6</x:v>
      </x:c>
      <x:c r="V70" s="46" t="n">
        <x:v>7</x:v>
      </x:c>
      <x:c r="W70" s="46" t="n">
        <x:v>4</x:v>
      </x:c>
      <x:c r="X70" s="46" t="n">
        <x:v>7</x:v>
      </x:c>
      <x:c r="Y70" s="47" t="n">
        <x:v>4</x:v>
      </x:c>
      <x:c r="Z70" s="47" t="n">
        <x:v>2</x:v>
      </x:c>
      <x:c r="AA70" s="47" t="n">
        <x:v>5</x:v>
      </x:c>
      <x:c r="AB70" s="47" t="n">
        <x:v>2</x:v>
      </x:c>
      <x:c r="AC70" s="47" t="n">
        <x:v>5</x:v>
      </x:c>
      <x:c r="AD70" s="47" t="n">
        <x:v>1</x:v>
      </x:c>
      <x:c r="AE70" s="47" t="n">
        <x:v>5</x:v>
      </x:c>
      <x:c r="AF70" s="47" t="n">
        <x:v>2</x:v>
      </x:c>
      <x:c r="AG70" s="47" t="n">
        <x:v>5</x:v>
      </x:c>
      <x:c r="AH70" s="47" t="n">
        <x:v>1</x:v>
      </x:c>
      <x:c r="AI70" s="48" t="n">
        <x:f>AVERAGE(D70:K70)</x:f>
        <x:v>5.5</x:v>
      </x:c>
      <x:c r="AJ70" s="48" t="n">
        <x:f>SUM(L70:Q70)</x:f>
        <x:v>1</x:v>
      </x:c>
      <x:c r="AK70" s="48" t="n">
        <x:f>AVERAGE(R70:X70)</x:f>
        <x:v>6.428571428571429</x:v>
      </x:c>
      <x:c r="AL70" s="48" t="n">
        <x:f>IF(COUNT(Y70:AH70)=10,((Y70-1)+(5-Z70)+(AA70-1)+(5-AB70)+(AC70-1)+(5-AD70)+(AE70-1)+(5-AF70)+(AG70-1)+(5-AH70))*2.5,"")</x:f>
        <x:v>90</x:v>
      </x:c>
    </x:row>
  </x:sheetData>
  <x:mergeCells>
    <x:mergeCell ref="A1:AM1"/>
  </x:mergeCells>
  <x:pageMargins left="0.7" right="0.7" top="0.75" bottom="0.75" header="0.3" footer="0.3"/>
  <x:tableParts count="1">
    <x:tablePart xmlns:r="http://schemas.openxmlformats.org/officeDocument/2006/relationships" r:id="R62674282466c4d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28" hidden="0" customWidth="1"/>
    <x:col min="4" max="4" width="34" hidden="0" customWidth="1"/>
    <x:col min="5" max="5" width="42" hidden="0" customWidth="1"/>
  </x:cols>
  <x:sheetData>
    <x:row r="1" ht="19.200000762939453" hidden="0" customHeight="1">
      <x:c r="A1" s="26" t="str">
        <x:v>Response Coding and Score Direction</x:v>
      </x:c>
      <x:c r="B1" s="27"/>
      <x:c r="C1" s="27"/>
      <x:c r="D1" s="27"/>
      <x:c r="E1" s="27"/>
    </x:row>
    <x:row r="2" ht="15" hidden="0" customHeight="1">
      <x:c r="A2" s="27"/>
      <x:c r="B2" s="27"/>
      <x:c r="C2" s="27"/>
      <x:c r="D2" s="27"/>
      <x:c r="E2" s="27"/>
    </x:row>
    <x:row r="3" ht="26.399999618530273" hidden="0" customHeight="1">
      <x:c r="A3" s="34" t="str">
        <x:v>Likert7</x:v>
      </x:c>
      <x:c r="B3" s="34" t="str">
        <x:v>Original response</x:v>
      </x:c>
      <x:c r="C3" s="34" t="str">
        <x:v>Numeric code</x:v>
      </x:c>
      <x:c r="D3" s="27"/>
      <x:c r="E3" s="27"/>
    </x:row>
    <x:row r="4" ht="26.399999618530273" hidden="0" customHeight="1">
      <x:c r="A4" s="27" t="str">
        <x:v>Likert7</x:v>
      </x:c>
      <x:c r="B4" s="27" t="str">
        <x:v>totally disagree</x:v>
      </x:c>
      <x:c r="C4" s="27" t="n">
        <x:v>1</x:v>
      </x:c>
      <x:c r="D4" s="27"/>
      <x:c r="E4" s="27"/>
    </x:row>
    <x:row r="5" ht="15" hidden="0" customHeight="1">
      <x:c r="A5" s="27" t="str">
        <x:v>Likert7</x:v>
      </x:c>
      <x:c r="B5" s="27" t="str">
        <x:v>disagree</x:v>
      </x:c>
      <x:c r="C5" s="27" t="n">
        <x:v>2</x:v>
      </x:c>
      <x:c r="D5" s="27"/>
      <x:c r="E5" s="27"/>
    </x:row>
    <x:row r="6" ht="26.399999618530273" hidden="0" customHeight="1">
      <x:c r="A6" s="27" t="str">
        <x:v>Likert7</x:v>
      </x:c>
      <x:c r="B6" s="27" t="str">
        <x:v>slightly disagree</x:v>
      </x:c>
      <x:c r="C6" s="27" t="n">
        <x:v>3</x:v>
      </x:c>
      <x:c r="D6" s="27"/>
      <x:c r="E6" s="27"/>
    </x:row>
    <x:row r="7" ht="15" hidden="0" customHeight="1">
      <x:c r="A7" s="27" t="str">
        <x:v>Likert7</x:v>
      </x:c>
      <x:c r="B7" s="27" t="str">
        <x:v>indifferent</x:v>
      </x:c>
      <x:c r="C7" s="27" t="n">
        <x:v>4</x:v>
      </x:c>
      <x:c r="D7" s="27"/>
      <x:c r="E7" s="27"/>
    </x:row>
    <x:row r="8" ht="26.399999618530273" hidden="0" customHeight="1">
      <x:c r="A8" s="27" t="str">
        <x:v>Likert7</x:v>
      </x:c>
      <x:c r="B8" s="27" t="str">
        <x:v>slightly agree</x:v>
      </x:c>
      <x:c r="C8" s="27" t="n">
        <x:v>5</x:v>
      </x:c>
      <x:c r="D8" s="27"/>
      <x:c r="E8" s="27"/>
    </x:row>
    <x:row r="9" ht="15" hidden="0" customHeight="1">
      <x:c r="A9" s="27" t="str">
        <x:v>Likert7</x:v>
      </x:c>
      <x:c r="B9" s="27" t="str">
        <x:v>agree</x:v>
      </x:c>
      <x:c r="C9" s="27" t="n">
        <x:v>6</x:v>
      </x:c>
      <x:c r="D9" s="27"/>
      <x:c r="E9" s="27"/>
    </x:row>
    <x:row r="10" ht="26.399999618530273" hidden="0" customHeight="1">
      <x:c r="A10" s="27" t="str">
        <x:v>Likert7</x:v>
      </x:c>
      <x:c r="B10" s="27" t="str">
        <x:v>totally agree</x:v>
      </x:c>
      <x:c r="C10" s="27" t="n">
        <x:v>7</x:v>
      </x:c>
      <x:c r="D10" s="27"/>
      <x:c r="E10" s="27"/>
    </x:row>
    <x:row r="11" ht="15" hidden="0" customHeight="1">
      <x:c r="A11" s="27"/>
      <x:c r="B11" s="27"/>
      <x:c r="C11" s="27"/>
      <x:c r="D11" s="27"/>
      <x:c r="E11" s="27"/>
    </x:row>
    <x:row r="12" ht="26.399999618530273" hidden="0" customHeight="1">
      <x:c r="A12" s="34" t="str">
        <x:v>Realism7</x:v>
      </x:c>
      <x:c r="B12" s="34" t="str">
        <x:v>Original response</x:v>
      </x:c>
      <x:c r="C12" s="34" t="str">
        <x:v>Numeric code</x:v>
      </x:c>
      <x:c r="D12" s="27"/>
      <x:c r="E12" s="27"/>
    </x:row>
    <x:row r="13" ht="26.399999618530273" hidden="0" customHeight="1">
      <x:c r="A13" s="27" t="str">
        <x:v>Realism7</x:v>
      </x:c>
      <x:c r="B13" s="27" t="str">
        <x:v>totally unreal</x:v>
      </x:c>
      <x:c r="C13" s="27" t="n">
        <x:v>1</x:v>
      </x:c>
      <x:c r="D13" s="27"/>
      <x:c r="E13" s="27"/>
    </x:row>
    <x:row r="14" ht="15" hidden="0" customHeight="1">
      <x:c r="A14" s="27" t="str">
        <x:v>Realism7</x:v>
      </x:c>
      <x:c r="B14" s="27" t="str">
        <x:v>unreal</x:v>
      </x:c>
      <x:c r="C14" s="27" t="n">
        <x:v>2</x:v>
      </x:c>
      <x:c r="D14" s="27"/>
      <x:c r="E14" s="27"/>
    </x:row>
    <x:row r="15" ht="26.399999618530273" hidden="0" customHeight="1">
      <x:c r="A15" s="27" t="str">
        <x:v>Realism7</x:v>
      </x:c>
      <x:c r="B15" s="27" t="str">
        <x:v>slightly unreal</x:v>
      </x:c>
      <x:c r="C15" s="27" t="n">
        <x:v>3</x:v>
      </x:c>
      <x:c r="D15" s="27"/>
      <x:c r="E15" s="27"/>
    </x:row>
    <x:row r="16" ht="15" hidden="0" customHeight="1">
      <x:c r="A16" s="27" t="str">
        <x:v>Realism7</x:v>
      </x:c>
      <x:c r="B16" s="27" t="str">
        <x:v>indifferent</x:v>
      </x:c>
      <x:c r="C16" s="27" t="n">
        <x:v>4</x:v>
      </x:c>
      <x:c r="D16" s="27"/>
      <x:c r="E16" s="27"/>
    </x:row>
    <x:row r="17" ht="26.399999618530273" hidden="0" customHeight="1">
      <x:c r="A17" s="27" t="str">
        <x:v>Realism7</x:v>
      </x:c>
      <x:c r="B17" s="27" t="str">
        <x:v>slightly real</x:v>
      </x:c>
      <x:c r="C17" s="27" t="n">
        <x:v>5</x:v>
      </x:c>
      <x:c r="D17" s="27"/>
      <x:c r="E17" s="27"/>
    </x:row>
    <x:row r="18" ht="15" hidden="0" customHeight="1">
      <x:c r="A18" s="27" t="str">
        <x:v>Realism7</x:v>
      </x:c>
      <x:c r="B18" s="27" t="str">
        <x:v>real</x:v>
      </x:c>
      <x:c r="C18" s="27" t="n">
        <x:v>6</x:v>
      </x:c>
      <x:c r="D18" s="27"/>
      <x:c r="E18" s="27"/>
    </x:row>
    <x:row r="19" ht="26.399999618530273" hidden="0" customHeight="1">
      <x:c r="A19" s="27" t="str">
        <x:v>Realism7</x:v>
      </x:c>
      <x:c r="B19" s="27" t="str">
        <x:v>totally real</x:v>
      </x:c>
      <x:c r="C19" s="27" t="n">
        <x:v>7</x:v>
      </x:c>
      <x:c r="D19" s="27"/>
      <x:c r="E19" s="27"/>
    </x:row>
    <x:row r="20" ht="15" hidden="0" customHeight="1">
      <x:c r="A20" s="27"/>
      <x:c r="B20" s="27"/>
      <x:c r="C20" s="27"/>
      <x:c r="D20" s="27"/>
      <x:c r="E20" s="27"/>
    </x:row>
    <x:row r="21" ht="26.399999618530273" hidden="0" customHeight="1">
      <x:c r="A21" s="34" t="str">
        <x:v>Cybersickness5</x:v>
      </x:c>
      <x:c r="B21" s="34" t="str">
        <x:v>Original response</x:v>
      </x:c>
      <x:c r="C21" s="34" t="str">
        <x:v>Numeric code</x:v>
      </x:c>
      <x:c r="D21" s="27"/>
      <x:c r="E21" s="27"/>
    </x:row>
    <x:row r="22" ht="26.399999618530273" hidden="0" customHeight="1">
      <x:c r="A22" s="27" t="str">
        <x:v>Cybersickness5</x:v>
      </x:c>
      <x:c r="B22" s="27" t="str">
        <x:v>not at all</x:v>
      </x:c>
      <x:c r="C22" s="27" t="n">
        <x:v>0</x:v>
      </x:c>
      <x:c r="D22" s="27"/>
      <x:c r="E22" s="27"/>
    </x:row>
    <x:row r="23" ht="26.399999618530273" hidden="0" customHeight="1">
      <x:c r="A23" s="27" t="str">
        <x:v>Cybersickness5</x:v>
      </x:c>
      <x:c r="B23" s="27" t="str">
        <x:v>barely</x:v>
      </x:c>
      <x:c r="C23" s="27" t="n">
        <x:v>1</x:v>
      </x:c>
      <x:c r="D23" s="27"/>
      <x:c r="E23" s="27"/>
    </x:row>
    <x:row r="24" ht="26.399999618530273" hidden="0" customHeight="1">
      <x:c r="A24" s="27" t="str">
        <x:v>Cybersickness5</x:v>
      </x:c>
      <x:c r="B24" s="27" t="str">
        <x:v>slightly</x:v>
      </x:c>
      <x:c r="C24" s="27" t="n">
        <x:v>2</x:v>
      </x:c>
      <x:c r="D24" s="27"/>
      <x:c r="E24" s="27"/>
    </x:row>
    <x:row r="25" ht="26.399999618530273" hidden="0" customHeight="1">
      <x:c r="A25" s="27" t="str">
        <x:v>Cybersickness5</x:v>
      </x:c>
      <x:c r="B25" s="27" t="str">
        <x:v>mildly</x:v>
      </x:c>
      <x:c r="C25" s="27" t="n">
        <x:v>3</x:v>
      </x:c>
      <x:c r="D25" s="27"/>
      <x:c r="E25" s="27"/>
    </x:row>
    <x:row r="26" ht="26.399999618530273" hidden="0" customHeight="1">
      <x:c r="A26" s="27" t="str">
        <x:v>Cybersickness5</x:v>
      </x:c>
      <x:c r="B26" s="27" t="str">
        <x:v>a lot</x:v>
      </x:c>
      <x:c r="C26" s="27" t="n">
        <x:v>4</x:v>
      </x:c>
      <x:c r="D26" s="27"/>
      <x:c r="E26" s="27"/>
    </x:row>
    <x:row r="27" ht="15" hidden="0" customHeight="1">
      <x:c r="A27" s="27"/>
      <x:c r="B27" s="27"/>
      <x:c r="C27" s="27"/>
      <x:c r="D27" s="27"/>
      <x:c r="E27" s="27"/>
    </x:row>
    <x:row r="28" ht="26.399999618530273" hidden="0" customHeight="1">
      <x:c r="A28" s="34" t="str">
        <x:v>SUS5</x:v>
      </x:c>
      <x:c r="B28" s="34" t="str">
        <x:v>Original response</x:v>
      </x:c>
      <x:c r="C28" s="34" t="str">
        <x:v>Numeric code</x:v>
      </x:c>
      <x:c r="D28" s="27"/>
      <x:c r="E28" s="27"/>
    </x:row>
    <x:row r="29" ht="26.399999618530273" hidden="0" customHeight="1">
      <x:c r="A29" s="27" t="str">
        <x:v>SUS5</x:v>
      </x:c>
      <x:c r="B29" s="27" t="str">
        <x:v>strongly disagree</x:v>
      </x:c>
      <x:c r="C29" s="27" t="n">
        <x:v>1</x:v>
      </x:c>
      <x:c r="D29" s="27"/>
      <x:c r="E29" s="27"/>
    </x:row>
    <x:row r="30" ht="15" hidden="0" customHeight="1">
      <x:c r="A30" s="27" t="str">
        <x:v>SUS5</x:v>
      </x:c>
      <x:c r="B30" s="27" t="str">
        <x:v>disagree</x:v>
      </x:c>
      <x:c r="C30" s="27" t="n">
        <x:v>2</x:v>
      </x:c>
      <x:c r="D30" s="27"/>
      <x:c r="E30" s="27"/>
    </x:row>
    <x:row r="31" ht="15" hidden="0" customHeight="1">
      <x:c r="A31" s="27" t="str">
        <x:v>SUS5</x:v>
      </x:c>
      <x:c r="B31" s="27" t="str">
        <x:v>neutral</x:v>
      </x:c>
      <x:c r="C31" s="27" t="n">
        <x:v>3</x:v>
      </x:c>
      <x:c r="D31" s="27"/>
      <x:c r="E31" s="27"/>
    </x:row>
    <x:row r="32" ht="15" hidden="0" customHeight="1">
      <x:c r="A32" s="27" t="str">
        <x:v>SUS5</x:v>
      </x:c>
      <x:c r="B32" s="27" t="str">
        <x:v>agree</x:v>
      </x:c>
      <x:c r="C32" s="27" t="n">
        <x:v>4</x:v>
      </x:c>
      <x:c r="D32" s="27"/>
      <x:c r="E32" s="27"/>
    </x:row>
    <x:row r="33" ht="26.399999618530273" hidden="0" customHeight="1">
      <x:c r="A33" s="27" t="str">
        <x:v>SUS5</x:v>
      </x:c>
      <x:c r="B33" s="27" t="str">
        <x:v>strongly agree</x:v>
      </x:c>
      <x:c r="C33" s="27" t="n">
        <x:v>5</x:v>
      </x:c>
      <x:c r="D33" s="27"/>
      <x:c r="E33" s="27"/>
    </x:row>
    <x:row r="34" ht="15" hidden="0" customHeight="1">
      <x:c r="A34" s="27"/>
      <x:c r="B34" s="27"/>
      <x:c r="C34" s="27"/>
      <x:c r="D34" s="27"/>
      <x:c r="E34" s="27"/>
    </x:row>
    <x:row r="35" ht="26.399999618530273" hidden="0" customHeight="1">
      <x:c r="A35" s="34" t="str">
        <x:v>Rule</x:v>
      </x:c>
      <x:c r="B35" s="34" t="str">
        <x:v>Affected items</x:v>
      </x:c>
      <x:c r="C35" s="34" t="str">
        <x:v>Operation</x:v>
      </x:c>
      <x:c r="D35" s="34" t="str">
        <x:v>Resulting direction</x:v>
      </x:c>
      <x:c r="E35" s="34" t="str">
        <x:v>Caution</x:v>
      </x:c>
    </x:row>
    <x:row r="36" ht="92.4000015258789" hidden="0" customHeight="1">
      <x:c r="A36" s="27" t="str">
        <x:v>Reverse scoring</x:v>
      </x:c>
      <x:c r="B36" s="27" t="str">
        <x:v>Displayed content was distorted; difficulty perceiving depth</x:v>
      </x:c>
      <x:c r="C36" s="27" t="str">
        <x:v>8 − original 1–7 score</x:v>
      </x:c>
      <x:c r="D36" s="27" t="str">
        <x:v>Higher = better experience</x:v>
      </x:c>
      <x:c r="E36" s="27" t="str">
        <x:v>Used only for exploratory common-item mean</x:v>
      </x:c>
    </x:row>
    <x:row r="37" ht="39.599998474121094" hidden="0" customHeight="1">
      <x:c r="A37" s="27" t="str">
        <x:v>SUS odd items</x:v>
      </x:c>
      <x:c r="B37" s="27" t="str">
        <x:v>1,3,5,7,9</x:v>
      </x:c>
      <x:c r="C37" s="27" t="str">
        <x:v>response − 1</x:v>
      </x:c>
      <x:c r="D37" s="27" t="str">
        <x:v>Positive contribution 0–4</x:v>
      </x:c>
      <x:c r="E37" s="27" t="str">
        <x:v>Standard SUS</x:v>
      </x:c>
    </x:row>
    <x:row r="38" ht="39.599998474121094" hidden="0" customHeight="1">
      <x:c r="A38" s="27" t="str">
        <x:v>SUS even items</x:v>
      </x:c>
      <x:c r="B38" s="27" t="str">
        <x:v>2,4,6,8,10</x:v>
      </x:c>
      <x:c r="C38" s="27" t="str">
        <x:v>5 − response</x:v>
      </x:c>
      <x:c r="D38" s="27" t="str">
        <x:v>Positive contribution 0–4</x:v>
      </x:c>
      <x:c r="E38" s="27" t="str">
        <x:v>Standard SUS</x:v>
      </x:c>
    </x:row>
    <x:row r="39" ht="39.599998474121094" hidden="0" customHeight="1">
      <x:c r="A39" s="27" t="str">
        <x:v>SUS total</x:v>
      </x:c>
      <x:c r="B39" s="27" t="str">
        <x:v>All 10 items</x:v>
      </x:c>
      <x:c r="C39" s="27" t="str">
        <x:v>sum contributions × 2.5</x:v>
      </x:c>
      <x:c r="D39" s="27" t="str">
        <x:v>0–100; higher = better</x:v>
      </x:c>
      <x:c r="E39" s="27" t="str">
        <x:v>Not a percentage</x:v>
      </x:c>
    </x:row>
    <x:row r="40" ht="52.79999923706055" hidden="0" customHeight="1">
      <x:c r="A40" s="27" t="str">
        <x:v>Cybersickness</x:v>
      </x:c>
      <x:c r="B40" s="27" t="str">
        <x:v>Six symptoms</x:v>
      </x:c>
      <x:c r="C40" s="27" t="str">
        <x:v>sum 0–4 item codes</x:v>
      </x:c>
      <x:c r="D40" s="27" t="str">
        <x:v>0–24; higher = worse</x:v>
      </x:c>
      <x:c r="E40" s="27" t="str">
        <x:v>Custom sum, not weighted SSQ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52" hidden="0" customWidth="1"/>
    <x:col min="4" max="4" width="52" hidden="0" customWidth="1"/>
    <x:col min="5" max="5" width="20" hidden="0" customWidth="1"/>
    <x:col min="6" max="6" width="20" hidden="0" customWidth="1"/>
  </x:cols>
  <x:sheetData>
    <x:row r="1" ht="38.400001525878906" hidden="0" customHeight="1">
      <x:c r="A1" s="26" t="str">
        <x:v>Recommended Comparison Methods and Thesis Tables</x:v>
      </x:c>
      <x:c r="B1" s="27"/>
      <x:c r="C1" s="27"/>
      <x:c r="D1" s="27"/>
      <x:c r="E1" s="27"/>
      <x:c r="F1" s="27"/>
    </x:row>
    <x:row r="2" ht="15" hidden="0" customHeight="1">
      <x:c r="A2" s="27"/>
      <x:c r="B2" s="27"/>
      <x:c r="C2" s="27"/>
      <x:c r="D2" s="27"/>
      <x:c r="E2" s="27"/>
      <x:c r="F2" s="27"/>
    </x:row>
    <x:row r="3" ht="52.79999923706055" hidden="0" customHeight="1">
      <x:c r="A3" s="34" t="str">
        <x:v>Analysis target</x:v>
      </x:c>
      <x:c r="B3" s="34" t="str">
        <x:v>Primary descriptive report</x:v>
      </x:c>
      <x:c r="C3" s="34" t="str">
        <x:v>Primary inferential option</x:v>
      </x:c>
      <x:c r="D3" s="34" t="str">
        <x:v>Sensitivity / robustness</x:v>
      </x:c>
      <x:c r="E3" s="34" t="str">
        <x:v>Effect size</x:v>
      </x:c>
      <x:c r="F3" s="34" t="str">
        <x:v>Thesis use</x:v>
      </x:c>
    </x:row>
    <x:row r="4" ht="66" hidden="0" customHeight="1">
      <x:c r="A4" s="27" t="str">
        <x:v>Individual 1–7 items</x:v>
      </x:c>
      <x:c r="B4" s="27" t="str">
        <x:v>N, mean, SD, median, IQR by group</x:v>
      </x:c>
      <x:c r="C4" s="27" t="str">
        <x:v>Mann–Whitney U (ordinal item level)</x:v>
      </x:c>
      <x:c r="D4" s="27" t="str">
        <x:v>Report response distributions</x:v>
      </x:c>
      <x:c r="E4" s="27" t="str">
        <x:v>Rank-biserial correlation</x:v>
      </x:c>
      <x:c r="F4" s="27" t="str">
        <x:v>Appendix or selected key items</x:v>
      </x:c>
    </x:row>
    <x:row r="5" ht="79.19999694824219" hidden="0" customHeight="1">
      <x:c r="A5" s="27" t="str">
        <x:v>Adapted presence mean</x:v>
      </x:c>
      <x:c r="B5" s="27" t="str">
        <x:v>N, mean, SD; median, IQR</x:v>
      </x:c>
      <x:c r="C5" s="27" t="str">
        <x:v>Welch independent-samples t-test</x:v>
      </x:c>
      <x:c r="D5" s="27" t="str">
        <x:v>Mann–Whitney U; bootstrap CI</x:v>
      </x:c>
      <x:c r="E5" s="27" t="str">
        <x:v>Hedges g with 95% CI</x:v>
      </x:c>
      <x:c r="F5" s="27" t="str">
        <x:v>Main results, clearly label exploratory</x:v>
      </x:c>
    </x:row>
    <x:row r="6" ht="66" hidden="0" customHeight="1">
      <x:c r="A6" s="27" t="str">
        <x:v>Cybersickness symptom sum</x:v>
      </x:c>
      <x:c r="B6" s="27" t="str">
        <x:v>N, median, IQR; also mean, SD</x:v>
      </x:c>
      <x:c r="C6" s="27" t="str">
        <x:v>Mann–Whitney U</x:v>
      </x:c>
      <x:c r="D6" s="27" t="str">
        <x:v>Bootstrap difference in medians/means</x:v>
      </x:c>
      <x:c r="E6" s="27" t="str">
        <x:v>Rank-biserial correlation</x:v>
      </x:c>
      <x:c r="F6" s="27" t="str">
        <x:v>Main results; lower is better</x:v>
      </x:c>
    </x:row>
    <x:row r="7" ht="66" hidden="0" customHeight="1">
      <x:c r="A7" s="27" t="str">
        <x:v>Common experience mean</x:v>
      </x:c>
      <x:c r="B7" s="27" t="str">
        <x:v>N, mean, SD; median, IQR</x:v>
      </x:c>
      <x:c r="C7" s="27" t="str">
        <x:v>Welch independent-samples t-test</x:v>
      </x:c>
      <x:c r="D7" s="27" t="str">
        <x:v>Mann–Whitney U; inspect reliability</x:v>
      </x:c>
      <x:c r="E7" s="27" t="str">
        <x:v>Hedges g with 95% CI</x:v>
      </x:c>
      <x:c r="F7" s="27" t="str">
        <x:v>Main results only as exploratory index</x:v>
      </x:c>
    </x:row>
    <x:row r="8" ht="92.4000015258789" hidden="0" customHeight="1">
      <x:c r="A8" s="27" t="str">
        <x:v>iCARE SUS</x:v>
      </x:c>
      <x:c r="B8" s="27" t="str">
        <x:v>N, mean, SD, median, IQR, range</x:v>
      </x:c>
      <x:c r="C8" s="27" t="str">
        <x:v>One-sample benchmark only if benchmark is justified</x:v>
      </x:c>
      <x:c r="D8" s="27" t="str">
        <x:v>Bootstrap CI for mean</x:v>
      </x:c>
      <x:c r="E8" s="27" t="str">
        <x:v>Cohen d vs justified benchmark</x:v>
      </x:c>
      <x:c r="F8" s="27" t="str">
        <x:v>Report separately; no CAVE comparison</x:v>
      </x:c>
    </x:row>
    <x:row r="9" ht="92.4000015258789" hidden="0" customHeight="1">
      <x:c r="A9" s="27" t="str">
        <x:v>Multiple item tests</x:v>
      </x:c>
      <x:c r="B9" s="27" t="str">
        <x:v>Show exact p-values</x:v>
      </x:c>
      <x:c r="C9" s="27" t="str">
        <x:v>Control false discovery rate if many item tests</x:v>
      </x:c>
      <x:c r="D9" s="27" t="str">
        <x:v>Prefer preselected outcomes</x:v>
      </x:c>
      <x:c r="E9" s="27" t="str">
        <x:v>Report effect sizes regardless of p</x:v>
      </x:c>
      <x:c r="F9" s="27" t="str">
        <x:v>Avoid declaring superiority from many unadjusted tests</x:v>
      </x:c>
    </x:row>
    <x:row r="10" ht="92.4000015258789" hidden="0" customHeight="1">
      <x:c r="A10" s="27" t="str">
        <x:v>Interpretation</x:v>
      </x:c>
      <x:c r="B10" s="27" t="str">
        <x:v>Describe association/difference</x:v>
      </x:c>
      <x:c r="C10" s="27" t="str">
        <x:v>Do not claim modality causation</x:v>
      </x:c>
      <x:c r="D10" s="27" t="str">
        <x:v>Account for non-random samples and unequal N</x:v>
      </x:c>
      <x:c r="E10" s="27" t="str">
        <x:v>Emphasize CI precision</x:v>
      </x:c>
      <x:c r="F10" s="27" t="str">
        <x:v>Discuss context and sample differences</x:v>
      </x:c>
    </x:row>
    <x:row r="11" ht="15" hidden="0" customHeight="1">
      <x:c r="A11" s="27"/>
      <x:c r="B11" s="27"/>
      <x:c r="C11" s="27"/>
      <x:c r="D11" s="27"/>
      <x:c r="E11" s="27"/>
      <x:c r="F11" s="27"/>
    </x:row>
    <x:row r="12" ht="39.599998474121094" hidden="0" customHeight="1">
      <x:c r="A12" s="34" t="str">
        <x:v>Suggested thesis table</x:v>
      </x:c>
      <x:c r="B12" s="34" t="str">
        <x:v>Rows</x:v>
      </x:c>
      <x:c r="C12" s="34" t="str">
        <x:v>Columns</x:v>
      </x:c>
      <x:c r="D12" s="34" t="str">
        <x:v>Notes</x:v>
      </x:c>
      <x:c r="E12" s="34"/>
      <x:c r="F12" s="34"/>
    </x:row>
    <x:row r="13" ht="105.5999984741211" hidden="0" customHeight="1">
      <x:c r="A13" s="27" t="str">
        <x:v>Table 1: Comparable scale summary</x:v>
      </x:c>
      <x:c r="B13" s="27" t="str">
        <x:v>Three common composites</x:v>
      </x:c>
      <x:c r="C13" s="27" t="str">
        <x:v>CAVE N, M, SD, Median (IQR); iCARE equivalents; effect size/CI</x:v>
      </x:c>
      <x:c r="D13" s="27" t="str">
        <x:v>Use this as the primary compact comparison table</x:v>
      </x:c>
      <x:c r="E13" s="27"/>
      <x:c r="F13" s="27"/>
    </x:row>
    <x:row r="14" ht="66" hidden="0" customHeight="1">
      <x:c r="A14" s="27" t="str">
        <x:v>Table 2: Comparable item statistics</x:v>
      </x:c>
      <x:c r="B14" s="27" t="str">
        <x:v>All 21 direct items or selected key items</x:v>
      </x:c>
      <x:c r="C14" s="27" t="str">
        <x:v>N, M, SD, Median, IQR by group</x:v>
      </x:c>
      <x:c r="D14" s="27" t="str">
        <x:v>Full table can go to appendix</x:v>
      </x:c>
      <x:c r="E14" s="27"/>
      <x:c r="F14" s="27"/>
    </x:row>
    <x:row r="15" ht="52.79999923706055" hidden="0" customHeight="1">
      <x:c r="A15" s="27" t="str">
        <x:v>Table 3: iCARE SUS</x:v>
      </x:c>
      <x:c r="B15" s="27" t="str">
        <x:v>SUS total and optionally 10 items</x:v>
      </x:c>
      <x:c r="C15" s="27" t="str">
        <x:v>N, M, SD, Median, IQR, Min–Max</x:v>
      </x:c>
      <x:c r="D15" s="27" t="str">
        <x:v>State standard scoring and alpha</x:v>
      </x:c>
      <x:c r="E15" s="27"/>
      <x:c r="F15" s="27"/>
    </x:row>
    <x:row r="16" ht="79.19999694824219" hidden="0" customHeight="1">
      <x:c r="A16" s="27" t="str">
        <x:v>Table 4: Mapping audit</x:v>
      </x:c>
      <x:c r="B16" s="27" t="str">
        <x:v>All original/user questionnaire items</x:v>
      </x:c>
      <x:c r="C16" s="27" t="str">
        <x:v>Wording, source sheet, match status, scoring</x:v>
      </x:c>
      <x:c r="D16" s="27" t="str">
        <x:v>Appendix/methods supplement</x:v>
      </x:c>
      <x:c r="E16" s="27"/>
      <x:c r="F16" s="27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0" hidden="0" customWidth="1"/>
    <x:col min="3" max="3" width="28" hidden="0" customWidth="1"/>
    <x:col min="4" max="4" width="52" hidden="0" customWidth="1"/>
  </x:cols>
  <x:sheetData>
    <x:row r="1" ht="19.200000762939453" hidden="0" customHeight="1">
      <x:c r="A1" s="26" t="str">
        <x:v>Source Workbook Audit</x:v>
      </x:c>
      <x:c r="B1" s="27"/>
      <x:c r="C1" s="27"/>
      <x:c r="D1" s="27"/>
    </x:row>
    <x:row r="2" ht="15" hidden="0" customHeight="1">
      <x:c r="A2" s="27"/>
      <x:c r="B2" s="27"/>
      <x:c r="C2" s="27"/>
      <x:c r="D2" s="27"/>
    </x:row>
    <x:row r="3" ht="26.399999618530273" hidden="0" customHeight="1">
      <x:c r="A3" s="34" t="str">
        <x:v>Dataset</x:v>
      </x:c>
      <x:c r="B3" s="34" t="str">
        <x:v>Source path</x:v>
      </x:c>
      <x:c r="C3" s="34" t="str">
        <x:v>Worksheet</x:v>
      </x:c>
      <x:c r="D3" s="34" t="str">
        <x:v>Use in analysis</x:v>
      </x:c>
    </x:row>
    <x:row r="4" ht="158.39999389648438" hidden="0" customHeight="1">
      <x:c r="A4" s="27" t="str">
        <x:v>Original</x:v>
      </x:c>
      <x:c r="B4" s="27" t="str">
        <x:v>C:\Users\FANFAN\Desktop\MA稿文\实验数据汇总\原论文数据\Survey_PRE_POST_UNIVPMtoAACHEN.xlsx</x:v>
      </x:c>
      <x:c r="C4" s="27" t="str">
        <x:v>PRE_Demographics</x:v>
      </x:c>
      <x:c r="D4" s="27" t="str">
        <x:v>Inspected; no user-side demographic counterpart</x:v>
      </x:c>
    </x:row>
    <x:row r="5" ht="158.39999389648438" hidden="0" customHeight="1">
      <x:c r="A5" s="27" t="str">
        <x:v>Original</x:v>
      </x:c>
      <x:c r="B5" s="27" t="str">
        <x:v>C:\Users\FANFAN\Desktop\MA稿文\实验数据汇总\原论文数据\Survey_PRE_POST_UNIVPMtoAACHEN.xlsx</x:v>
      </x:c>
      <x:c r="C5" s="27" t="str">
        <x:v>POST_IPQ</x:v>
      </x:c>
      <x:c r="D5" s="27" t="str">
        <x:v>Used/inspected for questionnaire comparison</x:v>
      </x:c>
    </x:row>
    <x:row r="6" ht="158.39999389648438" hidden="0" customHeight="1">
      <x:c r="A6" s="27" t="str">
        <x:v>Original</x:v>
      </x:c>
      <x:c r="B6" s="27" t="str">
        <x:v>C:\Users\FANFAN\Desktop\MA稿文\实验数据汇总\原论文数据\Survey_PRE_POST_UNIVPMtoAACHEN.xlsx</x:v>
      </x:c>
      <x:c r="C6" s="27" t="str">
        <x:v>POST_Cybersickness</x:v>
      </x:c>
      <x:c r="D6" s="27" t="str">
        <x:v>Used/inspected for questionnaire comparison</x:v>
      </x:c>
    </x:row>
    <x:row r="7" ht="158.39999389648438" hidden="0" customHeight="1">
      <x:c r="A7" s="27" t="str">
        <x:v>Original</x:v>
      </x:c>
      <x:c r="B7" s="27" t="str">
        <x:v>C:\Users\FANFAN\Desktop\MA稿文\实验数据汇总\原论文数据\Survey_PRE_POST_UNIVPMtoAACHEN.xlsx</x:v>
      </x:c>
      <x:c r="C7" s="27" t="str">
        <x:v>POST_Cave</x:v>
      </x:c>
      <x:c r="D7" s="27" t="str">
        <x:v>Used/inspected for questionnaire comparison</x:v>
      </x:c>
    </x:row>
    <x:row r="8" ht="132" hidden="0" customHeight="1">
      <x:c r="A8" s="27" t="str">
        <x:v>User</x:v>
      </x:c>
      <x:c r="B8" s="27" t="str">
        <x:v>C:\Users\FANFAN\Desktop\MA稿文\实验数据汇总\本论文处理过的数据\Final_Survey.xlsx</x:v>
      </x:c>
      <x:c r="C8" s="27" t="str">
        <x:v>POST_IPQ</x:v>
      </x:c>
      <x:c r="D8" s="27" t="str">
        <x:v>Used/inspected for questionnaire comparison</x:v>
      </x:c>
    </x:row>
    <x:row r="9" ht="132" hidden="0" customHeight="1">
      <x:c r="A9" s="27" t="str">
        <x:v>User</x:v>
      </x:c>
      <x:c r="B9" s="27" t="str">
        <x:v>C:\Users\FANFAN\Desktop\MA稿文\实验数据汇总\本论文处理过的数据\Final_Survey.xlsx</x:v>
      </x:c>
      <x:c r="C9" s="27" t="str">
        <x:v>POST_Cybersickness</x:v>
      </x:c>
      <x:c r="D9" s="27" t="str">
        <x:v>Used/inspected for questionnaire comparison</x:v>
      </x:c>
    </x:row>
    <x:row r="10" ht="132" hidden="0" customHeight="1">
      <x:c r="A10" s="27" t="str">
        <x:v>User</x:v>
      </x:c>
      <x:c r="B10" s="27" t="str">
        <x:v>C:\Users\FANFAN\Desktop\MA稿文\实验数据汇总\本论文处理过的数据\Final_Survey.xlsx</x:v>
      </x:c>
      <x:c r="C10" s="27" t="str">
        <x:v>POST_iCare_SUS</x:v>
      </x:c>
      <x:c r="D10" s="27" t="str">
        <x:v>Used/inspected for questionnaire comparison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c43888aba9640f2"/>
  </x:tableParts>
</x:worksheet>
</file>